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24226"/>
  <xr:revisionPtr revIDLastSave="0" documentId="8_{ACD647A5-4CD7-4157-A549-5ECFDF1B53A0}" xr6:coauthVersionLast="47" xr6:coauthVersionMax="47" xr10:uidLastSave="{00000000-0000-0000-0000-000000000000}"/>
  <bookViews>
    <workbookView xWindow="240" yWindow="15" windowWidth="16095" windowHeight="9660" firstSheet="3" activeTab="3" xr2:uid="{00000000-000D-0000-FFFF-FFFF00000000}"/>
  </bookViews>
  <sheets>
    <sheet name="Sales by Product" sheetId="2" r:id="rId1"/>
    <sheet name="Sales by Region" sheetId="3" r:id="rId2"/>
    <sheet name="Sales by Category" sheetId="4" r:id="rId3"/>
    <sheet name="Dashboard" sheetId="5" r:id="rId4"/>
    <sheet name="Raw Data" sheetId="1" r:id="rId5"/>
  </sheets>
  <calcPr calcId="191028"/>
  <pivotCaches>
    <pivotCache cacheId="16" r:id="rId6"/>
    <pivotCache cacheId="17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K3" i="1"/>
  <c r="K4" i="1"/>
  <c r="K5" i="1"/>
  <c r="K6" i="1"/>
  <c r="K7" i="1"/>
  <c r="K8" i="1"/>
  <c r="K9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L34" i="1" s="1"/>
  <c r="K39" i="1"/>
  <c r="K40" i="1"/>
  <c r="K41" i="1"/>
  <c r="K42" i="1"/>
  <c r="L29" i="1" s="1"/>
  <c r="K43" i="1"/>
  <c r="L11" i="1" s="1"/>
  <c r="K44" i="1"/>
  <c r="K45" i="1"/>
  <c r="K46" i="1"/>
  <c r="K47" i="1"/>
  <c r="K48" i="1"/>
  <c r="K49" i="1"/>
  <c r="K50" i="1"/>
  <c r="K51" i="1"/>
  <c r="K52" i="1"/>
  <c r="K53" i="1"/>
  <c r="K54" i="1"/>
  <c r="L37" i="1" s="1"/>
  <c r="K55" i="1"/>
  <c r="L44" i="1" s="1"/>
  <c r="K56" i="1"/>
  <c r="L54" i="1" s="1"/>
  <c r="K57" i="1"/>
  <c r="L55" i="1" s="1"/>
  <c r="K58" i="1"/>
  <c r="L3" i="1" s="1"/>
  <c r="K59" i="1"/>
  <c r="L32" i="1" s="1"/>
  <c r="K60" i="1"/>
  <c r="K61" i="1"/>
  <c r="K62" i="1"/>
  <c r="L31" i="1" s="1"/>
  <c r="K63" i="1"/>
  <c r="K64" i="1"/>
  <c r="L20" i="1" s="1"/>
  <c r="K65" i="1"/>
  <c r="K66" i="1"/>
  <c r="L18" i="1" s="1"/>
  <c r="K67" i="1"/>
  <c r="L56" i="1" s="1"/>
  <c r="K68" i="1"/>
  <c r="L36" i="1" s="1"/>
  <c r="K69" i="1"/>
  <c r="K70" i="1"/>
  <c r="L59" i="1" s="1"/>
  <c r="K71" i="1"/>
  <c r="K72" i="1"/>
  <c r="L38" i="1" s="1"/>
  <c r="K73" i="1"/>
  <c r="K74" i="1"/>
  <c r="K75" i="1"/>
  <c r="L30" i="1" s="1"/>
  <c r="K76" i="1"/>
  <c r="L57" i="1" s="1"/>
  <c r="K77" i="1"/>
  <c r="K78" i="1"/>
  <c r="K79" i="1"/>
  <c r="L25" i="1" s="1"/>
  <c r="K80" i="1"/>
  <c r="K81" i="1"/>
  <c r="K82" i="1"/>
  <c r="L35" i="1" s="1"/>
  <c r="K83" i="1"/>
  <c r="L45" i="1" s="1"/>
  <c r="K84" i="1"/>
  <c r="K85" i="1"/>
  <c r="L61" i="1" s="1"/>
  <c r="K86" i="1"/>
  <c r="K87" i="1"/>
  <c r="K88" i="1"/>
  <c r="L66" i="1" s="1"/>
  <c r="K89" i="1"/>
  <c r="K90" i="1"/>
  <c r="L48" i="1" s="1"/>
  <c r="K91" i="1"/>
  <c r="L33" i="1" s="1"/>
  <c r="K92" i="1"/>
  <c r="L63" i="1" s="1"/>
  <c r="K93" i="1"/>
  <c r="L58" i="1" s="1"/>
  <c r="K94" i="1"/>
  <c r="L47" i="1" s="1"/>
  <c r="K95" i="1"/>
  <c r="L92" i="1" s="1"/>
  <c r="K96" i="1"/>
  <c r="L43" i="1" s="1"/>
  <c r="K97" i="1"/>
  <c r="L24" i="1" s="1"/>
  <c r="K98" i="1"/>
  <c r="L13" i="1" s="1"/>
  <c r="K99" i="1"/>
  <c r="L7" i="1" s="1"/>
  <c r="K100" i="1"/>
  <c r="L65" i="1" s="1"/>
  <c r="K101" i="1"/>
  <c r="L94" i="1" s="1"/>
  <c r="K2" i="1"/>
  <c r="L76" i="1" s="1"/>
  <c r="L80" i="1" l="1"/>
  <c r="L87" i="1"/>
  <c r="L95" i="1"/>
  <c r="L99" i="1"/>
  <c r="L88" i="1"/>
  <c r="L2" i="1"/>
  <c r="L81" i="1"/>
  <c r="L82" i="1"/>
  <c r="L42" i="1"/>
  <c r="L40" i="1"/>
  <c r="L79" i="1"/>
  <c r="L91" i="1"/>
  <c r="L86" i="1"/>
  <c r="L93" i="1"/>
  <c r="L21" i="1"/>
  <c r="L72" i="1"/>
  <c r="L75" i="1"/>
  <c r="L5" i="1"/>
  <c r="L78" i="1"/>
  <c r="L14" i="1"/>
  <c r="L84" i="1"/>
  <c r="L83" i="1"/>
  <c r="L64" i="1"/>
  <c r="L6" i="1"/>
  <c r="L67" i="1"/>
  <c r="L96" i="1"/>
  <c r="L68" i="1"/>
  <c r="L77" i="1"/>
  <c r="L74" i="1"/>
  <c r="L100" i="1"/>
  <c r="L85" i="1"/>
  <c r="L28" i="1"/>
  <c r="L53" i="1"/>
  <c r="L12" i="1"/>
  <c r="L52" i="1"/>
  <c r="L51" i="1"/>
  <c r="L26" i="1"/>
  <c r="L10" i="1"/>
  <c r="L41" i="1"/>
  <c r="L19" i="1"/>
  <c r="L9" i="1"/>
  <c r="L73" i="1"/>
  <c r="L4" i="1"/>
  <c r="L62" i="1"/>
  <c r="L71" i="1"/>
  <c r="L8" i="1"/>
  <c r="L22" i="1"/>
  <c r="L23" i="1"/>
  <c r="L39" i="1"/>
  <c r="L50" i="1"/>
  <c r="L16" i="1"/>
  <c r="L97" i="1"/>
  <c r="L27" i="1"/>
  <c r="L90" i="1"/>
  <c r="L60" i="1"/>
  <c r="L46" i="1"/>
  <c r="L69" i="1"/>
  <c r="L70" i="1"/>
  <c r="L89" i="1"/>
  <c r="L101" i="1"/>
  <c r="L15" i="1"/>
  <c r="L17" i="1"/>
  <c r="L98" i="1"/>
  <c r="L49" i="1"/>
</calcChain>
</file>

<file path=xl/sharedStrings.xml><?xml version="1.0" encoding="utf-8"?>
<sst xmlns="http://schemas.openxmlformats.org/spreadsheetml/2006/main" count="545" uniqueCount="116">
  <si>
    <t>Product</t>
  </si>
  <si>
    <t>Сумма по полю Revenue</t>
  </si>
  <si>
    <t>Сумма по полю Quantity</t>
  </si>
  <si>
    <t>Laptop</t>
  </si>
  <si>
    <t>Smartphone</t>
  </si>
  <si>
    <t>Office Chair</t>
  </si>
  <si>
    <t>Desk</t>
  </si>
  <si>
    <t>Headphones</t>
  </si>
  <si>
    <t>Backpack</t>
  </si>
  <si>
    <t>Pen Set</t>
  </si>
  <si>
    <t>Notebook</t>
  </si>
  <si>
    <t>Общий итог</t>
  </si>
  <si>
    <t>Region</t>
  </si>
  <si>
    <t>Baku</t>
  </si>
  <si>
    <t>Ganja</t>
  </si>
  <si>
    <t>Shaki</t>
  </si>
  <si>
    <t>Sumqayit</t>
  </si>
  <si>
    <t>Category</t>
  </si>
  <si>
    <t>Accessories</t>
  </si>
  <si>
    <t>Electronics</t>
  </si>
  <si>
    <t>Furniture</t>
  </si>
  <si>
    <t>Stationery</t>
  </si>
  <si>
    <t>SALES PERFORMANCE DASHBOARD</t>
  </si>
  <si>
    <t xml:space="preserve">Total Revenue </t>
  </si>
  <si>
    <t>Total Orders</t>
  </si>
  <si>
    <t>Units Sold</t>
  </si>
  <si>
    <t>Average Order Value</t>
  </si>
  <si>
    <t>123,304.80</t>
  </si>
  <si>
    <t>1,233.05</t>
  </si>
  <si>
    <t>Order_ID</t>
  </si>
  <si>
    <t>Date</t>
  </si>
  <si>
    <t>Quantity</t>
  </si>
  <si>
    <t>Unit_Price</t>
  </si>
  <si>
    <t>Discount</t>
  </si>
  <si>
    <t>Revenue</t>
  </si>
  <si>
    <t>Salesperson</t>
  </si>
  <si>
    <t>Check</t>
  </si>
  <si>
    <t>DIFFERENCE</t>
  </si>
  <si>
    <t>2026-06-13</t>
  </si>
  <si>
    <t>Leyla</t>
  </si>
  <si>
    <t>2026-01-27</t>
  </si>
  <si>
    <t>2026-05-10</t>
  </si>
  <si>
    <t>2026-04-25</t>
  </si>
  <si>
    <t>Nigar</t>
  </si>
  <si>
    <t>2026-03-13</t>
  </si>
  <si>
    <t>Aylin</t>
  </si>
  <si>
    <t>2026-04-08</t>
  </si>
  <si>
    <t>2026-04-28</t>
  </si>
  <si>
    <t>Kamran</t>
  </si>
  <si>
    <t>2026-02-19</t>
  </si>
  <si>
    <t>2026-01-26</t>
  </si>
  <si>
    <t>2026-04-01</t>
  </si>
  <si>
    <t>2026-03-04</t>
  </si>
  <si>
    <t>2026-01-15</t>
  </si>
  <si>
    <t>2026-02-24</t>
  </si>
  <si>
    <t>2026-03-09</t>
  </si>
  <si>
    <t>2026-04-20</t>
  </si>
  <si>
    <t>2026-01-13</t>
  </si>
  <si>
    <t>Murad</t>
  </si>
  <si>
    <t>2026-03-10</t>
  </si>
  <si>
    <t>2026-04-06</t>
  </si>
  <si>
    <t>2026-04-03</t>
  </si>
  <si>
    <t>2026-05-05</t>
  </si>
  <si>
    <t>2026-05-16</t>
  </si>
  <si>
    <t>2026-06-21</t>
  </si>
  <si>
    <t>2026-02-27</t>
  </si>
  <si>
    <t>2026-02-26</t>
  </si>
  <si>
    <t>2026-01-09</t>
  </si>
  <si>
    <t>2026-05-19</t>
  </si>
  <si>
    <t>2026-01-25</t>
  </si>
  <si>
    <t>2026-06-22</t>
  </si>
  <si>
    <t>2026-03-05</t>
  </si>
  <si>
    <t>2026-06-16</t>
  </si>
  <si>
    <t>2026-01-01</t>
  </si>
  <si>
    <t>2026-06-28</t>
  </si>
  <si>
    <t>2026-06-02</t>
  </si>
  <si>
    <t>2026-02-22</t>
  </si>
  <si>
    <t>2026-03-22</t>
  </si>
  <si>
    <t>2026-05-18</t>
  </si>
  <si>
    <t>2026-04-05</t>
  </si>
  <si>
    <t>2026-06-17</t>
  </si>
  <si>
    <t>2026-01-30</t>
  </si>
  <si>
    <t>2026-03-12</t>
  </si>
  <si>
    <t>2026-04-24</t>
  </si>
  <si>
    <t>2026-05-30</t>
  </si>
  <si>
    <t>2026-04-02</t>
  </si>
  <si>
    <t>2026-02-09</t>
  </si>
  <si>
    <t>2026-02-15</t>
  </si>
  <si>
    <t>2026-06-29</t>
  </si>
  <si>
    <t>2026-06-18</t>
  </si>
  <si>
    <t>2026-06-14</t>
  </si>
  <si>
    <t>2026-05-29</t>
  </si>
  <si>
    <t>2026-04-22</t>
  </si>
  <si>
    <t>2026-07-01</t>
  </si>
  <si>
    <t>2026-04-21</t>
  </si>
  <si>
    <t>2026-03-21</t>
  </si>
  <si>
    <t xml:space="preserve"> Leyla</t>
  </si>
  <si>
    <t>2026-04-18</t>
  </si>
  <si>
    <t>2026-05-12</t>
  </si>
  <si>
    <t>2026-02-20</t>
  </si>
  <si>
    <t>2026-04-17</t>
  </si>
  <si>
    <t>2026-01-28</t>
  </si>
  <si>
    <t>2026-05-23</t>
  </si>
  <si>
    <t>2026-06-06</t>
  </si>
  <si>
    <t>2026-03-15</t>
  </si>
  <si>
    <t>2026-02-08</t>
  </si>
  <si>
    <t>2026-04-15</t>
  </si>
  <si>
    <t>2026-04-10</t>
  </si>
  <si>
    <t>2026-05-17</t>
  </si>
  <si>
    <t>2026-02-04</t>
  </si>
  <si>
    <t>2026-04-27</t>
  </si>
  <si>
    <t>2026-03-06</t>
  </si>
  <si>
    <t>2026-06-09</t>
  </si>
  <si>
    <t>2026-01-11</t>
  </si>
  <si>
    <t>2026-01-24</t>
  </si>
  <si>
    <t>2026-05-15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</si>
</sst>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  <xf numFmtId="0" fontId="2" fillId="0" borderId="0" xfId="0" applyFont="1"/>
    <xf numFmtId="0" fontId="2" fillId="0" borderId="3" xfId="0" applyFont="1" applyBorder="1"/>
    <xf numFmtId="4" fontId="3" fillId="0" borderId="3" xfId="0" applyNumberFormat="1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" fillId="0" borderId="4" xfId="0" applyFont="1" applyBorder="1"/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0" fillId="2" borderId="0" xfId="0" applyFill="1"/>
    <xf numFmtId="0" fontId="0" fillId="2" borderId="2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[freelance_sales_project_raw 1.xlsx]Sales by Product!Сводная таблица1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Product'!$B$3</c:f>
              <c:strCache>
                <c:ptCount val="1"/>
                <c:pt idx="0">
                  <c:v>Сумма по полю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Product'!$A$4:$A$12</c:f>
              <c:strCache>
                <c:ptCount val="8"/>
                <c:pt idx="0">
                  <c:v>Laptop</c:v>
                </c:pt>
                <c:pt idx="1">
                  <c:v>Smartphone</c:v>
                </c:pt>
                <c:pt idx="2">
                  <c:v>Office Chair</c:v>
                </c:pt>
                <c:pt idx="3">
                  <c:v>Desk</c:v>
                </c:pt>
                <c:pt idx="4">
                  <c:v>Headphones</c:v>
                </c:pt>
                <c:pt idx="5">
                  <c:v>Backpack</c:v>
                </c:pt>
                <c:pt idx="6">
                  <c:v>Pen Set</c:v>
                </c:pt>
                <c:pt idx="7">
                  <c:v>Notebook</c:v>
                </c:pt>
              </c:strCache>
            </c:strRef>
          </c:cat>
          <c:val>
            <c:numRef>
              <c:f>'Sales by Product'!$B$4:$B$12</c:f>
              <c:numCache>
                <c:formatCode>General</c:formatCode>
                <c:ptCount val="8"/>
                <c:pt idx="0">
                  <c:v>41021.229999999996</c:v>
                </c:pt>
                <c:pt idx="1">
                  <c:v>34308.159999999996</c:v>
                </c:pt>
                <c:pt idx="2">
                  <c:v>18210.760000000002</c:v>
                </c:pt>
                <c:pt idx="3">
                  <c:v>15808.48</c:v>
                </c:pt>
                <c:pt idx="4">
                  <c:v>10316.269999999999</c:v>
                </c:pt>
                <c:pt idx="5">
                  <c:v>2637.94</c:v>
                </c:pt>
                <c:pt idx="6">
                  <c:v>514.25</c:v>
                </c:pt>
                <c:pt idx="7">
                  <c:v>487.71000000000004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37-434E-B45E-B8FE7F72DA68}"/>
            </c:ext>
          </c:extLst>
        </c:ser>
        <c:ser>
          <c:idx val="1"/>
          <c:order val="1"/>
          <c:tx>
            <c:strRef>
              <c:f>'Sales by Product'!$C$3</c:f>
              <c:strCache>
                <c:ptCount val="1"/>
                <c:pt idx="0">
                  <c:v>Сумма по полю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by Product'!$A$4:$A$12</c:f>
              <c:strCache>
                <c:ptCount val="8"/>
                <c:pt idx="0">
                  <c:v>Laptop</c:v>
                </c:pt>
                <c:pt idx="1">
                  <c:v>Smartphone</c:v>
                </c:pt>
                <c:pt idx="2">
                  <c:v>Office Chair</c:v>
                </c:pt>
                <c:pt idx="3">
                  <c:v>Desk</c:v>
                </c:pt>
                <c:pt idx="4">
                  <c:v>Headphones</c:v>
                </c:pt>
                <c:pt idx="5">
                  <c:v>Backpack</c:v>
                </c:pt>
                <c:pt idx="6">
                  <c:v>Pen Set</c:v>
                </c:pt>
                <c:pt idx="7">
                  <c:v>Notebook</c:v>
                </c:pt>
              </c:strCache>
            </c:strRef>
          </c:cat>
          <c:val>
            <c:numRef>
              <c:f>'Sales by Product'!$C$4:$C$12</c:f>
              <c:numCache>
                <c:formatCode>General</c:formatCode>
                <c:ptCount val="8"/>
                <c:pt idx="0">
                  <c:v>36</c:v>
                </c:pt>
                <c:pt idx="1">
                  <c:v>45</c:v>
                </c:pt>
                <c:pt idx="2">
                  <c:v>68</c:v>
                </c:pt>
                <c:pt idx="3">
                  <c:v>49</c:v>
                </c:pt>
                <c:pt idx="4">
                  <c:v>99</c:v>
                </c:pt>
                <c:pt idx="5">
                  <c:v>43</c:v>
                </c:pt>
                <c:pt idx="6">
                  <c:v>45</c:v>
                </c:pt>
                <c:pt idx="7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37-434E-B45E-B8FE7F72D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3629832"/>
        <c:axId val="663670792"/>
      </c:barChart>
      <c:catAx>
        <c:axId val="663629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63670792"/>
        <c:crosses val="autoZero"/>
        <c:auto val="1"/>
        <c:lblAlgn val="ctr"/>
        <c:lblOffset val="100"/>
        <c:noMultiLvlLbl val="0"/>
      </c:catAx>
      <c:valAx>
        <c:axId val="663670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629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[freelance_sales_project_raw 1.xlsx]Sales by Region!Сводная таблица5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Region'!$B$1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Region'!$A$2:$A$6</c:f>
              <c:strCache>
                <c:ptCount val="4"/>
                <c:pt idx="0">
                  <c:v>Baku</c:v>
                </c:pt>
                <c:pt idx="1">
                  <c:v>Ganja</c:v>
                </c:pt>
                <c:pt idx="2">
                  <c:v>Shaki</c:v>
                </c:pt>
                <c:pt idx="3">
                  <c:v>Sumqayit</c:v>
                </c:pt>
              </c:strCache>
            </c:strRef>
          </c:cat>
          <c:val>
            <c:numRef>
              <c:f>'Sales by Region'!$B$2:$B$6</c:f>
              <c:numCache>
                <c:formatCode>General</c:formatCode>
                <c:ptCount val="4"/>
                <c:pt idx="0">
                  <c:v>27623.320000000003</c:v>
                </c:pt>
                <c:pt idx="1">
                  <c:v>30948.129999999997</c:v>
                </c:pt>
                <c:pt idx="2">
                  <c:v>28023.819999999996</c:v>
                </c:pt>
                <c:pt idx="3">
                  <c:v>36709.529999999992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B8-4ECC-B403-D91F7EA04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4299912"/>
        <c:axId val="674301960"/>
      </c:barChart>
      <c:catAx>
        <c:axId val="674299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1960"/>
        <c:crosses val="autoZero"/>
        <c:auto val="1"/>
        <c:lblAlgn val="ctr"/>
        <c:lblOffset val="100"/>
        <c:noMultiLvlLbl val="0"/>
      </c:catAx>
      <c:valAx>
        <c:axId val="674301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299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[freelance_sales_project_raw 1.xlsx]Sales by Category!Сводная таблица7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Category'!$B$1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Category'!$A$2:$A$6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Stationery</c:v>
                </c:pt>
              </c:strCache>
            </c:strRef>
          </c:cat>
          <c:val>
            <c:numRef>
              <c:f>'Sales by Category'!$B$2:$B$6</c:f>
              <c:numCache>
                <c:formatCode>General</c:formatCode>
                <c:ptCount val="4"/>
                <c:pt idx="0">
                  <c:v>2637.94</c:v>
                </c:pt>
                <c:pt idx="1">
                  <c:v>85594.38</c:v>
                </c:pt>
                <c:pt idx="2">
                  <c:v>34019.240000000005</c:v>
                </c:pt>
                <c:pt idx="3">
                  <c:v>1053.2400000000002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8-409B-B50E-0125FA50F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4929928"/>
        <c:axId val="974931976"/>
      </c:barChart>
      <c:catAx>
        <c:axId val="974929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74931976"/>
        <c:crosses val="autoZero"/>
        <c:auto val="1"/>
        <c:lblAlgn val="ctr"/>
        <c:lblOffset val="100"/>
        <c:noMultiLvlLbl val="0"/>
      </c:catAx>
      <c:valAx>
        <c:axId val="974931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929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19050</xdr:rowOff>
    </xdr:from>
    <xdr:to>
      <xdr:col>3</xdr:col>
      <xdr:colOff>85725</xdr:colOff>
      <xdr:row>18</xdr:row>
      <xdr:rowOff>95250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3931E64-D5E0-49F2-A715-0BE64A2FEA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114300</xdr:colOff>
      <xdr:row>4</xdr:row>
      <xdr:rowOff>9525</xdr:rowOff>
    </xdr:from>
    <xdr:to>
      <xdr:col>9</xdr:col>
      <xdr:colOff>276225</xdr:colOff>
      <xdr:row>18</xdr:row>
      <xdr:rowOff>85725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552040E-F62E-4AF3-848F-4416EF34C3AA}"/>
            </a:ext>
            <a:ext uri="{147F2762-F138-4A5C-976F-8EAC2B608ADB}">
              <a16:predDERef xmlns:a16="http://schemas.microsoft.com/office/drawing/2014/main" pred="{93931E64-D5E0-49F2-A715-0BE64A2FEA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342900</xdr:colOff>
      <xdr:row>18</xdr:row>
      <xdr:rowOff>152400</xdr:rowOff>
    </xdr:from>
    <xdr:to>
      <xdr:col>5</xdr:col>
      <xdr:colOff>542925</xdr:colOff>
      <xdr:row>33</xdr:row>
      <xdr:rowOff>38100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1AFD622-84FE-40D9-B5B5-704EEF6E750A}"/>
            </a:ext>
            <a:ext uri="{147F2762-F138-4A5C-976F-8EAC2B608ADB}">
              <a16:predDERef xmlns:a16="http://schemas.microsoft.com/office/drawing/2014/main" pred="{6552040E-F62E-4AF3-848F-4416EF34C3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523875</xdr:colOff>
      <xdr:row>0</xdr:row>
      <xdr:rowOff>66675</xdr:rowOff>
    </xdr:from>
    <xdr:to>
      <xdr:col>10</xdr:col>
      <xdr:colOff>523875</xdr:colOff>
      <xdr:row>0</xdr:row>
      <xdr:rowOff>66675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">
              <a:extLst>
                <a:ext uri="{FF2B5EF4-FFF2-40B4-BE49-F238E27FC236}">
                  <a16:creationId xmlns:a16="http://schemas.microsoft.com/office/drawing/2014/main" id="{49C3DB2B-454A-4421-8747-21950AACCD9F}"/>
                </a:ext>
              </a:extLst>
            </xdr14:cNvPr>
            <xdr14:cNvContentPartPr/>
          </xdr14:nvContentPartPr>
          <xdr14:nvPr macro=""/>
          <xdr14:xfrm>
            <a:off x="6619875" y="66675"/>
            <a:ext cx="0" cy="0"/>
          </xdr14:xfrm>
        </xdr:contentPart>
      </mc:Choice>
      <mc:Fallback xmlns="">
        <xdr:pic>
          <xdr:nvPicPr>
            <xdr:cNvPr id="2" name="">
              <a:extLst>
                <a:ext uri="{FF2B5EF4-FFF2-40B4-BE49-F238E27FC236}">
                  <a16:creationId xmlns:a16="http://schemas.microsoft.com/office/drawing/2014/main" id="{49C3DB2B-454A-4421-8747-21950AACCD9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619875" y="666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838200</xdr:colOff>
      <xdr:row>0</xdr:row>
      <xdr:rowOff>47625</xdr:rowOff>
    </xdr:from>
    <xdr:to>
      <xdr:col>11</xdr:col>
      <xdr:colOff>838200</xdr:colOff>
      <xdr:row>0</xdr:row>
      <xdr:rowOff>47625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">
              <a:extLst>
                <a:ext uri="{FF2B5EF4-FFF2-40B4-BE49-F238E27FC236}">
                  <a16:creationId xmlns:a16="http://schemas.microsoft.com/office/drawing/2014/main" id="{2A5B86C1-73C0-4FD4-9137-66FD500FE3C8}"/>
                </a:ext>
                <a:ext uri="{147F2762-F138-4A5C-976F-8EAC2B608ADB}">
                  <a16:predDERef xmlns:a16="http://schemas.microsoft.com/office/drawing/2014/main" pred="{49C3DB2B-454A-4421-8747-21950AACCD9F}"/>
                </a:ext>
              </a:extLst>
            </xdr14:cNvPr>
            <xdr14:cNvContentPartPr/>
          </xdr14:nvContentPartPr>
          <xdr14:nvPr macro=""/>
          <xdr14:xfrm>
            <a:off x="10077450" y="47625"/>
            <a:ext cx="0" cy="0"/>
          </xdr14:xfrm>
        </xdr:contentPart>
      </mc:Choice>
      <mc:Fallback xmlns="">
        <xdr:pic>
          <xdr:nvPicPr>
            <xdr:cNvPr id="3" name="">
              <a:extLst>
                <a:ext uri="{FF2B5EF4-FFF2-40B4-BE49-F238E27FC236}">
                  <a16:creationId xmlns:a16="http://schemas.microsoft.com/office/drawing/2014/main" id="{2A5B86C1-73C0-4FD4-9137-66FD500FE3C8}"/>
                </a:ext>
                <a:ext uri="{147F2762-F138-4A5C-976F-8EAC2B608ADB}">
                  <a16:predDERef xmlns:a16="http://schemas.microsoft.com/office/drawing/2014/main" pred="{49C3DB2B-454A-4421-8747-21950AACCD9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077450" y="4762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9-06T14:45:26.807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18209 180 16383 0 0,'0'0'0'0'0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9-06T14:45:26.808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27818 138 16383 0 0,'0'0'0'0'0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1.750555208331" createdVersion="8" refreshedVersion="8" minRefreshableVersion="3" recordCount="100" xr:uid="{7BE83919-E846-4ED8-8CBB-B150F54B81FD}">
  <cacheSource type="worksheet">
    <worksheetSource ref="A1:L101" sheet="Raw Data"/>
  </cacheSource>
  <cacheFields count="12">
    <cacheField name="Order_ID" numFmtId="0">
      <sharedItems containsSemiMixedTypes="0" containsString="0" containsNumber="1" containsInteger="1" minValue="1" maxValue="100"/>
    </cacheField>
    <cacheField name="Date" numFmtId="0">
      <sharedItems/>
    </cacheField>
    <cacheField name="Product" numFmtId="0">
      <sharedItems count="8">
        <s v="Headphones"/>
        <s v="Laptop"/>
        <s v="Desk"/>
        <s v="Smartphone"/>
        <s v="Pen Set"/>
        <s v="Office Chair"/>
        <s v="Notebook"/>
        <s v="Backpack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8"/>
    </cacheField>
    <cacheField name="Unit_Price" numFmtId="0">
      <sharedItems containsSemiMixedTypes="0" containsString="0" containsNumber="1" minValue="7.7" maxValue="1282.9000000000001"/>
    </cacheField>
    <cacheField name="Discount" numFmtId="0">
      <sharedItems containsSemiMixedTypes="0" containsString="0" containsNumber="1" minValue="0" maxValue="0.15"/>
    </cacheField>
    <cacheField name="Revenue" numFmtId="0">
      <sharedItems containsSemiMixedTypes="0" containsString="0" containsNumber="1" minValue="10.23" maxValue="8523.48"/>
    </cacheField>
    <cacheField name="Region" numFmtId="0">
      <sharedItems/>
    </cacheField>
    <cacheField name="Salesperson" numFmtId="0">
      <sharedItems/>
    </cacheField>
    <cacheField name="Check" numFmtId="0">
      <sharedItems containsSemiMixedTypes="0" containsString="0" containsNumber="1" minValue="10.233999999999998" maxValue="8523.4800000000014"/>
    </cacheField>
    <cacheField name="DIFFERENCE" numFmtId="0">
      <sharedItems containsSemiMixedTypes="0" containsString="0" containsNumber="1" minValue="-4.9999999999954525E-3" maxValue="4.9999999999954525E-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1.764796527779" createdVersion="8" refreshedVersion="8" minRefreshableVersion="3" recordCount="100" xr:uid="{BC1332E7-AD87-4181-A88B-D7AFB494484F}">
  <cacheSource type="worksheet">
    <worksheetSource ref="A1:J101" sheet="Raw Data"/>
  </cacheSource>
  <cacheFields count="10">
    <cacheField name="Order_ID" numFmtId="0">
      <sharedItems containsSemiMixedTypes="0" containsString="0" containsNumber="1" containsInteger="1" minValue="1" maxValue="100"/>
    </cacheField>
    <cacheField name="Date" numFmtId="0">
      <sharedItems/>
    </cacheField>
    <cacheField name="Product" numFmtId="0">
      <sharedItems/>
    </cacheField>
    <cacheField name="Category" numFmtId="0">
      <sharedItems count="4">
        <s v="Electronics"/>
        <s v="Furniture"/>
        <s v="Stationery"/>
        <s v="Accessories"/>
      </sharedItems>
    </cacheField>
    <cacheField name="Quantity" numFmtId="0">
      <sharedItems containsSemiMixedTypes="0" containsString="0" containsNumber="1" containsInteger="1" minValue="1" maxValue="8"/>
    </cacheField>
    <cacheField name="Unit_Price" numFmtId="0">
      <sharedItems containsSemiMixedTypes="0" containsString="0" containsNumber="1" minValue="7.7" maxValue="1282.9000000000001"/>
    </cacheField>
    <cacheField name="Discount" numFmtId="0">
      <sharedItems containsSemiMixedTypes="0" containsString="0" containsNumber="1" minValue="0" maxValue="0.15"/>
    </cacheField>
    <cacheField name="Revenue" numFmtId="0">
      <sharedItems containsSemiMixedTypes="0" containsString="0" containsNumber="1" minValue="10.23" maxValue="8523.48"/>
    </cacheField>
    <cacheField name="Region" numFmtId="0">
      <sharedItems count="4">
        <s v="Ganja"/>
        <s v="Shaki"/>
        <s v="Baku"/>
        <s v="Sumqayit"/>
      </sharedItems>
    </cacheField>
    <cacheField name="Salespers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s v="2026-06-13"/>
    <x v="0"/>
    <s v="Electronics"/>
    <n v="1"/>
    <n v="124.64"/>
    <n v="0"/>
    <n v="124.64"/>
    <s v="Ganja"/>
    <s v="Leyla"/>
    <n v="124.64"/>
    <n v="0"/>
  </r>
  <r>
    <n v="2"/>
    <s v="2026-01-27"/>
    <x v="0"/>
    <s v="Electronics"/>
    <n v="7"/>
    <n v="111.01"/>
    <n v="0"/>
    <n v="777.07"/>
    <s v="Ganja"/>
    <s v="Leyla"/>
    <n v="777.07"/>
    <n v="0"/>
  </r>
  <r>
    <n v="3"/>
    <s v="2026-05-10"/>
    <x v="1"/>
    <s v="Electronics"/>
    <n v="4"/>
    <n v="1241.48"/>
    <n v="0.15"/>
    <n v="4221.03"/>
    <s v="Shaki"/>
    <s v="Leyla"/>
    <n v="4221.0320000000002"/>
    <n v="-2.0000000004074536E-3"/>
  </r>
  <r>
    <n v="4"/>
    <s v="2026-04-25"/>
    <x v="2"/>
    <s v="Furniture"/>
    <n v="1"/>
    <n v="364.49"/>
    <n v="0"/>
    <n v="364.49"/>
    <s v="Shaki"/>
    <s v="Nigar"/>
    <n v="364.49"/>
    <n v="0"/>
  </r>
  <r>
    <n v="5"/>
    <s v="2026-03-13"/>
    <x v="3"/>
    <s v="Electronics"/>
    <n v="4"/>
    <n v="912.18"/>
    <n v="0.05"/>
    <n v="3466.28"/>
    <s v="Baku"/>
    <s v="Aylin"/>
    <n v="3466.2839999999997"/>
    <n v="-3.9999999994506652E-3"/>
  </r>
  <r>
    <n v="6"/>
    <s v="2026-04-08"/>
    <x v="0"/>
    <s v="Electronics"/>
    <n v="6"/>
    <n v="126.67"/>
    <n v="0.15"/>
    <n v="646.02"/>
    <s v="Sumqayit"/>
    <s v="Aylin"/>
    <n v="646.01699999999994"/>
    <n v="3.0000000000427463E-3"/>
  </r>
  <r>
    <n v="7"/>
    <s v="2026-04-28"/>
    <x v="0"/>
    <s v="Electronics"/>
    <n v="7"/>
    <n v="111.91"/>
    <n v="0.05"/>
    <n v="744.2"/>
    <s v="Sumqayit"/>
    <s v="Kamran"/>
    <n v="744.20150000000001"/>
    <n v="-1.4999999999645297E-3"/>
  </r>
  <r>
    <n v="8"/>
    <s v="2026-02-19"/>
    <x v="0"/>
    <s v="Electronics"/>
    <n v="1"/>
    <n v="123.1"/>
    <n v="0.05"/>
    <n v="116.94"/>
    <s v="Baku"/>
    <s v="Leyla"/>
    <n v="116.94499999999999"/>
    <n v="-4.9999999999954525E-3"/>
  </r>
  <r>
    <n v="9"/>
    <s v="2026-01-26"/>
    <x v="4"/>
    <s v="Stationery"/>
    <n v="5"/>
    <n v="11.91"/>
    <n v="0.05"/>
    <n v="56.57"/>
    <s v="Ganja"/>
    <s v="Nigar"/>
    <n v="56.572499999999998"/>
    <n v="-2.4999999999977263E-3"/>
  </r>
  <r>
    <n v="10"/>
    <s v="2026-04-01"/>
    <x v="5"/>
    <s v="Furniture"/>
    <n v="5"/>
    <n v="289.04000000000002"/>
    <n v="0"/>
    <n v="1445.2"/>
    <s v="Ganja"/>
    <s v="Kamran"/>
    <n v="1445.2"/>
    <n v="0"/>
  </r>
  <r>
    <n v="11"/>
    <s v="2026-03-04"/>
    <x v="3"/>
    <s v="Electronics"/>
    <n v="8"/>
    <n v="833.61"/>
    <n v="0.15"/>
    <n v="5668.55"/>
    <s v="Ganja"/>
    <s v="Nigar"/>
    <n v="5668.5479999999998"/>
    <n v="2.0000000004074536E-3"/>
  </r>
  <r>
    <n v="12"/>
    <s v="2026-01-15"/>
    <x v="5"/>
    <s v="Furniture"/>
    <n v="1"/>
    <n v="293.67"/>
    <n v="0.1"/>
    <n v="264.3"/>
    <s v="Sumqayit"/>
    <s v="Aylin"/>
    <n v="264.303"/>
    <n v="-2.9999999999859028E-3"/>
  </r>
  <r>
    <n v="13"/>
    <s v="2026-02-24"/>
    <x v="6"/>
    <s v="Stationery"/>
    <n v="4"/>
    <n v="8.1999999999999993"/>
    <n v="0.1"/>
    <n v="29.52"/>
    <s v="Shaki"/>
    <s v="Leyla"/>
    <n v="29.52"/>
    <n v="0"/>
  </r>
  <r>
    <n v="14"/>
    <s v="2026-03-09"/>
    <x v="3"/>
    <s v="Electronics"/>
    <n v="4"/>
    <n v="883.32"/>
    <n v="0.15"/>
    <n v="3003.29"/>
    <s v="Sumqayit"/>
    <s v="Kamran"/>
    <n v="3003.288"/>
    <n v="1.9999999999527063E-3"/>
  </r>
  <r>
    <n v="15"/>
    <s v="2026-04-20"/>
    <x v="4"/>
    <s v="Stationery"/>
    <n v="6"/>
    <n v="11.46"/>
    <n v="0"/>
    <n v="68.760000000000005"/>
    <s v="Shaki"/>
    <s v="Aylin"/>
    <n v="68.760000000000005"/>
    <n v="0"/>
  </r>
  <r>
    <n v="16"/>
    <s v="2026-01-13"/>
    <x v="0"/>
    <s v="Electronics"/>
    <n v="3"/>
    <n v="122.45"/>
    <n v="0.1"/>
    <n v="330.62"/>
    <s v="Baku"/>
    <s v="Murad"/>
    <n v="330.61500000000001"/>
    <n v="4.9999999999954525E-3"/>
  </r>
  <r>
    <n v="17"/>
    <s v="2026-04-08"/>
    <x v="7"/>
    <s v="Accessories"/>
    <n v="5"/>
    <n v="69.900000000000006"/>
    <n v="0"/>
    <n v="349.5"/>
    <s v="Baku"/>
    <s v="Kamran"/>
    <n v="349.5"/>
    <n v="0"/>
  </r>
  <r>
    <n v="18"/>
    <s v="2026-03-10"/>
    <x v="6"/>
    <s v="Stationery"/>
    <n v="2"/>
    <n v="7.74"/>
    <n v="0"/>
    <n v="15.48"/>
    <s v="Shaki"/>
    <s v="Aylin"/>
    <n v="15.48"/>
    <n v="0"/>
  </r>
  <r>
    <n v="19"/>
    <s v="2026-03-09"/>
    <x v="3"/>
    <s v="Electronics"/>
    <n v="2"/>
    <n v="900.39"/>
    <n v="0.05"/>
    <n v="1710.74"/>
    <s v="Ganja"/>
    <s v="Leyla"/>
    <n v="1710.741"/>
    <n v="-9.9999999997635314E-4"/>
  </r>
  <r>
    <n v="20"/>
    <s v="2026-04-06"/>
    <x v="3"/>
    <s v="Electronics"/>
    <n v="1"/>
    <n v="863.46"/>
    <n v="0.1"/>
    <n v="777.11"/>
    <s v="Baku"/>
    <s v="Aylin"/>
    <n v="777.11400000000003"/>
    <n v="-4.0000000000190994E-3"/>
  </r>
  <r>
    <n v="21"/>
    <s v="2026-04-03"/>
    <x v="2"/>
    <s v="Furniture"/>
    <n v="4"/>
    <n v="325.24"/>
    <n v="0.15"/>
    <n v="1105.82"/>
    <s v="Baku"/>
    <s v="Aylin"/>
    <n v="1105.816"/>
    <n v="3.9999999999054126E-3"/>
  </r>
  <r>
    <n v="22"/>
    <s v="2026-05-05"/>
    <x v="0"/>
    <s v="Electronics"/>
    <n v="3"/>
    <n v="112.87"/>
    <n v="0.1"/>
    <n v="304.75"/>
    <s v="Ganja"/>
    <s v="Nigar"/>
    <n v="304.74900000000002"/>
    <n v="9.9999999997635314E-4"/>
  </r>
  <r>
    <n v="23"/>
    <s v="2026-05-16"/>
    <x v="0"/>
    <s v="Stationery"/>
    <n v="4"/>
    <n v="12.82"/>
    <n v="0"/>
    <n v="51.28"/>
    <s v="Sumqayit"/>
    <s v="Murad"/>
    <n v="51.28"/>
    <n v="0"/>
  </r>
  <r>
    <n v="24"/>
    <s v="2026-06-21"/>
    <x v="6"/>
    <s v="Stationery"/>
    <n v="8"/>
    <n v="8.51"/>
    <n v="0.1"/>
    <n v="61.27"/>
    <s v="Baku"/>
    <s v="Leyla"/>
    <n v="61.271999999999998"/>
    <n v="-1.9999999999953388E-3"/>
  </r>
  <r>
    <n v="25"/>
    <s v="2026-02-27"/>
    <x v="0"/>
    <s v="Electronics"/>
    <n v="6"/>
    <n v="110.8"/>
    <n v="0.15"/>
    <n v="565.08000000000004"/>
    <s v="Ganja"/>
    <s v="Kamran"/>
    <n v="565.07999999999993"/>
    <n v="0"/>
  </r>
  <r>
    <n v="26"/>
    <s v="2026-02-26"/>
    <x v="1"/>
    <s v="Electronics"/>
    <n v="2"/>
    <n v="1239.9100000000001"/>
    <n v="0"/>
    <n v="2479.8200000000002"/>
    <s v="Ganja"/>
    <s v="Aylin"/>
    <n v="2479.8200000000002"/>
    <n v="0"/>
  </r>
  <r>
    <n v="27"/>
    <s v="2026-01-09"/>
    <x v="6"/>
    <s v="Stationery"/>
    <n v="2"/>
    <n v="8.02"/>
    <n v="0.05"/>
    <n v="15.24"/>
    <s v="Shaki"/>
    <s v="Leyla"/>
    <n v="15.237999999999998"/>
    <n v="2.0000000000024443E-3"/>
  </r>
  <r>
    <n v="28"/>
    <s v="2026-05-19"/>
    <x v="3"/>
    <s v="Electronics"/>
    <n v="8"/>
    <n v="815.05"/>
    <n v="0.1"/>
    <n v="5868.36"/>
    <s v="Shaki"/>
    <s v="Leyla"/>
    <n v="5868.36"/>
    <n v="0"/>
  </r>
  <r>
    <n v="29"/>
    <s v="2026-01-25"/>
    <x v="0"/>
    <s v="Electronics"/>
    <n v="7"/>
    <n v="117.2"/>
    <n v="0.1"/>
    <n v="738.36"/>
    <s v="Shaki"/>
    <s v="Aylin"/>
    <n v="738.36"/>
    <n v="0"/>
  </r>
  <r>
    <n v="30"/>
    <s v="2026-06-22"/>
    <x v="0"/>
    <s v="Electronics"/>
    <n v="1"/>
    <n v="118.13"/>
    <n v="0.05"/>
    <n v="112.22"/>
    <s v="Baku"/>
    <s v="Leyla"/>
    <n v="112.22349999999999"/>
    <n v="-3.4999999999882903E-3"/>
  </r>
  <r>
    <n v="31"/>
    <s v="2026-02-19"/>
    <x v="5"/>
    <s v="Furniture"/>
    <n v="8"/>
    <n v="263.88"/>
    <n v="0"/>
    <n v="2111.04"/>
    <s v="Sumqayit"/>
    <s v="Murad"/>
    <n v="2111.04"/>
    <n v="0"/>
  </r>
  <r>
    <n v="32"/>
    <s v="2026-03-05"/>
    <x v="0"/>
    <s v="Electronics"/>
    <n v="8"/>
    <n v="125.91"/>
    <n v="0.15"/>
    <n v="856.19"/>
    <s v="Baku"/>
    <s v="Aylin"/>
    <n v="856.18799999999999"/>
    <n v="2.0000000000663931E-3"/>
  </r>
  <r>
    <n v="33"/>
    <s v="2026-06-16"/>
    <x v="1"/>
    <s v="Electronics"/>
    <n v="2"/>
    <n v="1281.8599999999999"/>
    <n v="0"/>
    <n v="2563.7199999999998"/>
    <s v="Ganja"/>
    <s v="Murad"/>
    <n v="2563.7199999999998"/>
    <n v="0"/>
  </r>
  <r>
    <n v="34"/>
    <s v="2026-05-05"/>
    <x v="7"/>
    <s v="Accessories"/>
    <n v="4"/>
    <n v="68.790000000000006"/>
    <n v="0"/>
    <n v="275.16000000000003"/>
    <s v="Ganja"/>
    <s v="Murad"/>
    <n v="275.16000000000003"/>
    <n v="0"/>
  </r>
  <r>
    <n v="35"/>
    <s v="2026-01-01"/>
    <x v="4"/>
    <s v="Stationery"/>
    <n v="5"/>
    <n v="12.82"/>
    <n v="0.1"/>
    <n v="57.69"/>
    <s v="Sumqayit"/>
    <s v="Murad"/>
    <n v="57.69"/>
    <n v="0"/>
  </r>
  <r>
    <n v="36"/>
    <s v="2026-06-28"/>
    <x v="7"/>
    <s v="Accessories"/>
    <n v="3"/>
    <n v="61.77"/>
    <n v="0"/>
    <n v="185.31"/>
    <s v="Baku"/>
    <s v="Kamran"/>
    <n v="185.31"/>
    <n v="0"/>
  </r>
  <r>
    <n v="37"/>
    <s v="2026-05-19"/>
    <x v="1"/>
    <s v="Electronics"/>
    <n v="6"/>
    <n v="1114.98"/>
    <n v="0.15"/>
    <n v="5686.4"/>
    <s v="Shaki"/>
    <s v="Kamran"/>
    <n v="5686.3980000000001"/>
    <n v="1.9999999994979589E-3"/>
  </r>
  <r>
    <n v="38"/>
    <s v="2026-05-16"/>
    <x v="3"/>
    <s v="Electronics"/>
    <n v="1"/>
    <n v="912.67"/>
    <n v="0"/>
    <n v="912.67"/>
    <s v="Ganja"/>
    <s v="Aylin"/>
    <n v="912.67"/>
    <n v="0"/>
  </r>
  <r>
    <n v="39"/>
    <s v="2026-06-02"/>
    <x v="0"/>
    <s v="Electronics"/>
    <n v="4"/>
    <n v="118.15"/>
    <n v="0.15"/>
    <n v="401.71"/>
    <s v="Ganja"/>
    <s v="Kamran"/>
    <n v="401.71000000000004"/>
    <n v="0"/>
  </r>
  <r>
    <n v="40"/>
    <s v="2026-06-02"/>
    <x v="1"/>
    <s v="Electronics"/>
    <n v="2"/>
    <n v="1184.49"/>
    <n v="0.15"/>
    <n v="2013.63"/>
    <s v="Sumqayit"/>
    <s v="Nigar"/>
    <n v="2013.633"/>
    <n v="-2.9999999999290594E-3"/>
  </r>
  <r>
    <n v="41"/>
    <s v="2026-02-22"/>
    <x v="6"/>
    <s v="Stationery"/>
    <n v="4"/>
    <n v="7.7"/>
    <n v="0"/>
    <n v="30.8"/>
    <s v="Sumqayit"/>
    <s v="Murad"/>
    <n v="30.8"/>
    <n v="0"/>
  </r>
  <r>
    <n v="42"/>
    <s v="2026-03-22"/>
    <x v="0"/>
    <s v="Electronics"/>
    <n v="1"/>
    <n v="119.2"/>
    <n v="0.15"/>
    <n v="101.32"/>
    <s v="Baku"/>
    <s v="Aylin"/>
    <n v="101.32"/>
    <n v="0"/>
  </r>
  <r>
    <n v="43"/>
    <s v="2026-05-18"/>
    <x v="5"/>
    <s v="Furniture"/>
    <n v="5"/>
    <n v="263.52999999999997"/>
    <n v="0.05"/>
    <n v="1251.77"/>
    <s v="Baku"/>
    <s v="Leyla"/>
    <n v="1251.7674999999997"/>
    <n v="2.5000000002819434E-3"/>
  </r>
  <r>
    <n v="44"/>
    <s v="2026-04-05"/>
    <x v="2"/>
    <s v="Furniture"/>
    <n v="3"/>
    <n v="346.54"/>
    <n v="0.15"/>
    <n v="883.68"/>
    <s v="Sumqayit"/>
    <s v="Kamran"/>
    <n v="883.67700000000002"/>
    <n v="2.9999999999290594E-3"/>
  </r>
  <r>
    <n v="45"/>
    <s v="2026-06-17"/>
    <x v="1"/>
    <s v="Electronics"/>
    <n v="5"/>
    <n v="1282.9000000000001"/>
    <n v="0"/>
    <n v="6414.5"/>
    <s v="Ganja"/>
    <s v="Nigar"/>
    <n v="6414.5"/>
    <n v="0"/>
  </r>
  <r>
    <n v="46"/>
    <s v="2026-01-30"/>
    <x v="0"/>
    <s v="Electronics"/>
    <n v="3"/>
    <n v="115.63"/>
    <n v="0.15"/>
    <n v="294.86"/>
    <s v="Ganja"/>
    <s v="Nigar"/>
    <n v="294.85649999999998"/>
    <n v="3.5000000000309228E-3"/>
  </r>
  <r>
    <n v="47"/>
    <s v="2026-02-22"/>
    <x v="2"/>
    <s v="Furniture"/>
    <n v="8"/>
    <n v="336.06"/>
    <n v="0"/>
    <n v="2688.48"/>
    <s v="Baku"/>
    <s v="Murad"/>
    <n v="2688.48"/>
    <n v="0"/>
  </r>
  <r>
    <n v="48"/>
    <s v="2026-03-12"/>
    <x v="1"/>
    <s v="Electronics"/>
    <n v="1"/>
    <n v="1168.04"/>
    <n v="0"/>
    <n v="1168.04"/>
    <s v="Sumqayit"/>
    <s v="Leyla"/>
    <n v="1168.04"/>
    <n v="0"/>
  </r>
  <r>
    <n v="49"/>
    <s v="2026-04-24"/>
    <x v="4"/>
    <s v="Stationery"/>
    <n v="1"/>
    <n v="11.25"/>
    <n v="0"/>
    <n v="11.25"/>
    <s v="Baku"/>
    <s v="Nigar"/>
    <n v="11.25"/>
    <n v="0"/>
  </r>
  <r>
    <n v="50"/>
    <s v="2026-05-30"/>
    <x v="3"/>
    <s v="Electronics"/>
    <n v="7"/>
    <n v="799.33"/>
    <n v="0.05"/>
    <n v="5315.54"/>
    <s v="Sumqayit"/>
    <s v="Aylin"/>
    <n v="5315.5445"/>
    <n v="-4.500000000007276E-3"/>
  </r>
  <r>
    <n v="51"/>
    <s v="2026-04-02"/>
    <x v="5"/>
    <s v="Furniture"/>
    <n v="4"/>
    <n v="287.48"/>
    <n v="0.05"/>
    <n v="1092.42"/>
    <s v="Shaki"/>
    <s v="Kamran"/>
    <n v="1092.424"/>
    <n v="-3.9999999999054126E-3"/>
  </r>
  <r>
    <n v="52"/>
    <s v="2026-02-09"/>
    <x v="5"/>
    <s v="Furniture"/>
    <n v="3"/>
    <n v="301.33"/>
    <n v="0"/>
    <n v="903.99"/>
    <s v="Shaki"/>
    <s v="Aylin"/>
    <n v="903.99"/>
    <n v="0"/>
  </r>
  <r>
    <n v="53"/>
    <s v="2026-02-15"/>
    <x v="6"/>
    <s v="Stationery"/>
    <n v="7"/>
    <n v="8.39"/>
    <n v="0"/>
    <n v="58.73"/>
    <s v="Sumqayit"/>
    <s v="Leyla"/>
    <n v="58.730000000000004"/>
    <n v="0"/>
  </r>
  <r>
    <n v="54"/>
    <s v="2026-06-29"/>
    <x v="0"/>
    <s v="Electronics"/>
    <n v="7"/>
    <n v="127.15"/>
    <n v="0.1"/>
    <n v="801.05"/>
    <s v="Ganja"/>
    <s v="Leyla"/>
    <n v="801.04500000000007"/>
    <n v="4.9999999998817657E-3"/>
  </r>
  <r>
    <n v="55"/>
    <s v="2026-04-28"/>
    <x v="6"/>
    <s v="Stationery"/>
    <n v="5"/>
    <n v="8.41"/>
    <n v="0"/>
    <n v="42.05"/>
    <s v="Ganja"/>
    <s v="Aylin"/>
    <n v="42.05"/>
    <n v="0"/>
  </r>
  <r>
    <n v="56"/>
    <s v="2026-06-18"/>
    <x v="5"/>
    <s v="Furniture"/>
    <n v="7"/>
    <n v="272.31"/>
    <n v="0"/>
    <n v="1906.17"/>
    <s v="Sumqayit"/>
    <s v="Nigar"/>
    <n v="1906.17"/>
    <n v="0"/>
  </r>
  <r>
    <n v="57"/>
    <s v="2026-06-14"/>
    <x v="4"/>
    <s v="Stationery"/>
    <n v="6"/>
    <n v="12.84"/>
    <n v="0"/>
    <n v="77.040000000000006"/>
    <s v="Sumqayit"/>
    <s v="Leyla"/>
    <n v="77.039999999999992"/>
    <n v="0"/>
  </r>
  <r>
    <n v="58"/>
    <s v="2026-05-29"/>
    <x v="2"/>
    <s v="Furniture"/>
    <n v="1"/>
    <n v="328.07"/>
    <n v="0.1"/>
    <n v="295.26"/>
    <s v="Sumqayit"/>
    <s v="Nigar"/>
    <n v="295.26299999999998"/>
    <n v="-2.9999999999859028E-3"/>
  </r>
  <r>
    <n v="59"/>
    <s v="2026-04-22"/>
    <x v="0"/>
    <s v="Electronics"/>
    <n v="7"/>
    <n v="127.67"/>
    <n v="0"/>
    <n v="893.69"/>
    <s v="Sumqayit"/>
    <s v="Aylin"/>
    <n v="893.69"/>
    <n v="0"/>
  </r>
  <r>
    <n v="60"/>
    <s v="2026-07-01"/>
    <x v="4"/>
    <s v="Stationery"/>
    <n v="1"/>
    <n v="12.04"/>
    <n v="0.15"/>
    <n v="10.23"/>
    <s v="Ganja"/>
    <s v="Nigar"/>
    <n v="10.233999999999998"/>
    <n v="-3.9999999999977831E-3"/>
  </r>
  <r>
    <n v="61"/>
    <s v="2026-04-21"/>
    <x v="0"/>
    <s v="Electronics"/>
    <n v="6"/>
    <n v="122.36"/>
    <n v="0"/>
    <n v="734.16"/>
    <s v="Sumqayit"/>
    <s v="Kamran"/>
    <n v="734.16"/>
    <n v="0"/>
  </r>
  <r>
    <n v="62"/>
    <s v="2026-03-21"/>
    <x v="4"/>
    <s v="Stationery"/>
    <n v="6"/>
    <n v="11.81"/>
    <n v="0.05"/>
    <n v="67.319999999999993"/>
    <s v="Ganja"/>
    <s v=" Leyla"/>
    <n v="67.316999999999993"/>
    <n v="3.0000000000001137E-3"/>
  </r>
  <r>
    <n v="63"/>
    <s v="2026-04-18"/>
    <x v="4"/>
    <s v="Stationery"/>
    <n v="3"/>
    <n v="12.22"/>
    <n v="0.05"/>
    <n v="34.83"/>
    <s v="Shaki"/>
    <s v="Kamran"/>
    <n v="34.827000000000005"/>
    <n v="2.9999999999930083E-3"/>
  </r>
  <r>
    <n v="64"/>
    <s v="2026-01-01"/>
    <x v="2"/>
    <s v="Furniture"/>
    <n v="5"/>
    <n v="333.77"/>
    <n v="0.15"/>
    <n v="1418.52"/>
    <s v="Sumqayit"/>
    <s v="Murad"/>
    <n v="1418.5224999999998"/>
    <n v="-2.499999999827196E-3"/>
  </r>
  <r>
    <n v="65"/>
    <s v="2026-04-24"/>
    <x v="7"/>
    <s v="Accessories"/>
    <n v="4"/>
    <n v="65.12"/>
    <n v="0"/>
    <n v="260.48"/>
    <s v="Baku"/>
    <s v="Nigar"/>
    <n v="260.48"/>
    <n v="0"/>
  </r>
  <r>
    <n v="66"/>
    <s v="2026-05-12"/>
    <x v="6"/>
    <s v="Stationery"/>
    <n v="2"/>
    <n v="8.41"/>
    <n v="0"/>
    <n v="16.82"/>
    <s v="Sumqayit"/>
    <s v="Leyla"/>
    <n v="16.82"/>
    <n v="0"/>
  </r>
  <r>
    <n v="67"/>
    <s v="2026-02-20"/>
    <x v="3"/>
    <s v="Electronics"/>
    <n v="1"/>
    <n v="788.29"/>
    <n v="0.1"/>
    <n v="709.46"/>
    <s v="Baku"/>
    <s v="Murad"/>
    <n v="709.46100000000001"/>
    <n v="-9.9999999997635314E-4"/>
  </r>
  <r>
    <n v="68"/>
    <s v="2026-04-17"/>
    <x v="5"/>
    <s v="Furniture"/>
    <n v="7"/>
    <n v="279.75"/>
    <n v="0"/>
    <n v="1958.25"/>
    <s v="Ganja"/>
    <s v="Aylin"/>
    <n v="1958.25"/>
    <n v="0"/>
  </r>
  <r>
    <n v="69"/>
    <s v="2026-01-28"/>
    <x v="4"/>
    <s v="Stationery"/>
    <n v="4"/>
    <n v="11.38"/>
    <n v="0.15"/>
    <n v="38.69"/>
    <s v="Shaki"/>
    <s v="Aylin"/>
    <n v="38.692"/>
    <n v="-2.0000000000024443E-3"/>
  </r>
  <r>
    <n v="70"/>
    <s v="2026-05-23"/>
    <x v="5"/>
    <s v="Furniture"/>
    <n v="2"/>
    <n v="278.05"/>
    <n v="0.1"/>
    <n v="500.49"/>
    <s v="Sumqayit"/>
    <s v="Murad"/>
    <n v="500.49"/>
    <n v="0"/>
  </r>
  <r>
    <n v="71"/>
    <s v="2026-06-06"/>
    <x v="4"/>
    <s v="Stationery"/>
    <n v="8"/>
    <n v="12.76"/>
    <n v="0.1"/>
    <n v="91.87"/>
    <s v="Shaki"/>
    <s v="Nigar"/>
    <n v="91.872"/>
    <n v="-1.9999999999953388E-3"/>
  </r>
  <r>
    <n v="72"/>
    <s v="2026-03-05"/>
    <x v="2"/>
    <s v="Furniture"/>
    <n v="8"/>
    <n v="357.1"/>
    <n v="0.05"/>
    <n v="2713.96"/>
    <s v="Shaki"/>
    <s v="Aylin"/>
    <n v="2713.96"/>
    <n v="0"/>
  </r>
  <r>
    <n v="73"/>
    <s v="2026-03-15"/>
    <x v="5"/>
    <s v="Furniture"/>
    <n v="5"/>
    <n v="272.64999999999998"/>
    <n v="0.15"/>
    <n v="1158.76"/>
    <s v="Baku"/>
    <s v="Leyla"/>
    <n v="1158.7625"/>
    <n v="-2.5000000000545697E-3"/>
  </r>
  <r>
    <n v="74"/>
    <s v="2026-02-08"/>
    <x v="5"/>
    <s v="Furniture"/>
    <n v="7"/>
    <n v="288.69"/>
    <n v="0"/>
    <n v="2020.83"/>
    <s v="Baku"/>
    <s v="Murad"/>
    <n v="2020.83"/>
    <n v="0"/>
  </r>
  <r>
    <n v="75"/>
    <s v="2026-04-15"/>
    <x v="6"/>
    <s v="Stationery"/>
    <n v="8"/>
    <n v="7.89"/>
    <n v="0"/>
    <n v="63.12"/>
    <s v="Shaki"/>
    <s v="Murad"/>
    <n v="63.12"/>
    <n v="0"/>
  </r>
  <r>
    <n v="76"/>
    <s v="2026-05-30"/>
    <x v="1"/>
    <s v="Electronics"/>
    <n v="7"/>
    <n v="1195.58"/>
    <n v="0.05"/>
    <n v="7950.61"/>
    <s v="Sumqayit"/>
    <s v="Murad"/>
    <n v="7950.6069999999991"/>
    <n v="3.0000000006111804E-3"/>
  </r>
  <r>
    <n v="77"/>
    <s v="2026-04-18"/>
    <x v="5"/>
    <s v="Furniture"/>
    <n v="8"/>
    <n v="267.43"/>
    <n v="0.1"/>
    <n v="1925.5"/>
    <s v="Shaki"/>
    <s v="Aylin"/>
    <n v="1925.4960000000001"/>
    <n v="3.9999999999054126E-3"/>
  </r>
  <r>
    <n v="78"/>
    <s v="2026-04-10"/>
    <x v="6"/>
    <s v="Stationery"/>
    <n v="7"/>
    <n v="8.2899999999999991"/>
    <n v="0.1"/>
    <n v="52.23"/>
    <s v="Ganja"/>
    <s v="Kamran"/>
    <n v="52.226999999999997"/>
    <n v="3.0000000000001137E-3"/>
  </r>
  <r>
    <n v="79"/>
    <s v="2026-05-17"/>
    <x v="1"/>
    <s v="Electronics"/>
    <n v="7"/>
    <n v="1217.6400000000001"/>
    <n v="0"/>
    <n v="8523.48"/>
    <s v="Baku"/>
    <s v="Murad"/>
    <n v="8523.4800000000014"/>
    <n v="0"/>
  </r>
  <r>
    <n v="80"/>
    <s v="2026-02-04"/>
    <x v="7"/>
    <s v="Accessories"/>
    <n v="3"/>
    <n v="60.32"/>
    <n v="0.1"/>
    <n v="162.86000000000001"/>
    <s v="Sumqayit"/>
    <s v="Leyla"/>
    <n v="162.864"/>
    <n v="-3.9999999999906777E-3"/>
  </r>
  <r>
    <n v="81"/>
    <s v="2026-04-27"/>
    <x v="6"/>
    <s v="Stationery"/>
    <n v="6"/>
    <n v="8.33"/>
    <n v="0.1"/>
    <n v="44.98"/>
    <s v="Sumqayit"/>
    <s v="Murad"/>
    <n v="44.982000000000006"/>
    <n v="-2.0000000000095497E-3"/>
  </r>
  <r>
    <n v="82"/>
    <s v="2026-03-06"/>
    <x v="0"/>
    <s v="Electronics"/>
    <n v="8"/>
    <n v="110.77"/>
    <n v="0.15"/>
    <n v="753.24"/>
    <s v="Baku"/>
    <s v="Nigar"/>
    <n v="753.23599999999999"/>
    <n v="4.0000000000190994E-3"/>
  </r>
  <r>
    <n v="83"/>
    <s v="2026-02-27"/>
    <x v="0"/>
    <s v="Electronics"/>
    <n v="1"/>
    <n v="124.88"/>
    <n v="0"/>
    <n v="124.88"/>
    <s v="Ganja"/>
    <s v="Aylin"/>
    <n v="124.88"/>
    <n v="0"/>
  </r>
  <r>
    <n v="84"/>
    <s v="2026-06-09"/>
    <x v="3"/>
    <s v="Electronics"/>
    <n v="4"/>
    <n v="799.17"/>
    <n v="0"/>
    <n v="3196.68"/>
    <s v="Ganja"/>
    <s v="Murad"/>
    <n v="3196.68"/>
    <n v="0"/>
  </r>
  <r>
    <n v="85"/>
    <s v="2026-06-29"/>
    <x v="2"/>
    <s v="Furniture"/>
    <n v="6"/>
    <n v="331.4"/>
    <n v="0.15"/>
    <n v="1690.14"/>
    <s v="Baku"/>
    <s v="Leyla"/>
    <n v="1690.1399999999999"/>
    <n v="0"/>
  </r>
  <r>
    <n v="86"/>
    <s v="2026-03-21"/>
    <x v="0"/>
    <s v="Electronics"/>
    <n v="1"/>
    <n v="128.22999999999999"/>
    <n v="0.15"/>
    <n v="109"/>
    <s v="Shaki"/>
    <s v="Murad"/>
    <n v="108.99549999999999"/>
    <n v="4.500000000007276E-3"/>
  </r>
  <r>
    <n v="87"/>
    <s v="2026-02-20"/>
    <x v="0"/>
    <s v="Electronics"/>
    <n v="4"/>
    <n v="112.36"/>
    <n v="0.05"/>
    <n v="426.97"/>
    <s v="Baku"/>
    <s v="Kamran"/>
    <n v="426.96799999999996"/>
    <n v="2.0000000000663931E-3"/>
  </r>
  <r>
    <n v="88"/>
    <s v="2026-01-11"/>
    <x v="6"/>
    <s v="Stationery"/>
    <n v="7"/>
    <n v="8.2100000000000009"/>
    <n v="0"/>
    <n v="57.47"/>
    <s v="Sumqayit"/>
    <s v="Aylin"/>
    <n v="57.470000000000006"/>
    <n v="0"/>
  </r>
  <r>
    <n v="89"/>
    <s v="2026-04-18"/>
    <x v="7"/>
    <s v="Accessories"/>
    <n v="2"/>
    <n v="64.31"/>
    <n v="0.05"/>
    <n v="122.19"/>
    <s v="Shaki"/>
    <s v="Leyla"/>
    <n v="122.18899999999999"/>
    <n v="1.0000000000047748E-3"/>
  </r>
  <r>
    <n v="90"/>
    <s v="2026-04-22"/>
    <x v="3"/>
    <s v="Electronics"/>
    <n v="5"/>
    <n v="865.76"/>
    <n v="0.15"/>
    <n v="3679.48"/>
    <s v="Shaki"/>
    <s v="Murad"/>
    <n v="3679.48"/>
    <n v="0"/>
  </r>
  <r>
    <n v="91"/>
    <s v="2026-04-22"/>
    <x v="2"/>
    <s v="Furniture"/>
    <n v="6"/>
    <n v="369.7"/>
    <n v="0"/>
    <n v="2218.1999999999998"/>
    <s v="Sumqayit"/>
    <s v="Murad"/>
    <n v="2218.1999999999998"/>
    <n v="0"/>
  </r>
  <r>
    <n v="92"/>
    <s v="2026-03-04"/>
    <x v="7"/>
    <s v="Accessories"/>
    <n v="7"/>
    <n v="63.3"/>
    <n v="0.1"/>
    <n v="398.79"/>
    <s v="Sumqayit"/>
    <s v="Leyla"/>
    <n v="398.78999999999996"/>
    <n v="0"/>
  </r>
  <r>
    <n v="93"/>
    <s v="2026-05-05"/>
    <x v="5"/>
    <s v="Furniture"/>
    <n v="6"/>
    <n v="293.33999999999997"/>
    <n v="0.05"/>
    <n v="1672.04"/>
    <s v="Sumqayit"/>
    <s v="Kamran"/>
    <n v="1672.0379999999998"/>
    <n v="2.00000000018008E-3"/>
  </r>
  <r>
    <n v="94"/>
    <s v="2026-06-29"/>
    <x v="2"/>
    <s v="Furniture"/>
    <n v="1"/>
    <n v="350.93"/>
    <n v="0"/>
    <n v="350.93"/>
    <s v="Baku"/>
    <s v="Leyla"/>
    <n v="350.93"/>
    <n v="0"/>
  </r>
  <r>
    <n v="95"/>
    <s v="2026-04-15"/>
    <x v="7"/>
    <s v="Accessories"/>
    <n v="4"/>
    <n v="66.98"/>
    <n v="0.1"/>
    <n v="241.13"/>
    <s v="Shaki"/>
    <s v="Aylin"/>
    <n v="241.12800000000001"/>
    <n v="1.999999999981128E-3"/>
  </r>
  <r>
    <n v="96"/>
    <s v="2026-01-24"/>
    <x v="2"/>
    <s v="Furniture"/>
    <n v="4"/>
    <n v="344.65"/>
    <n v="0"/>
    <n v="1378.6"/>
    <s v="Sumqayit"/>
    <s v="Kamran"/>
    <n v="1378.6"/>
    <n v="0"/>
  </r>
  <r>
    <n v="97"/>
    <s v="2026-04-05"/>
    <x v="7"/>
    <s v="Accessories"/>
    <n v="6"/>
    <n v="64.23"/>
    <n v="0.15"/>
    <n v="327.57"/>
    <s v="Sumqayit"/>
    <s v="Nigar"/>
    <n v="327.57299999999998"/>
    <n v="-2.9999999999859028E-3"/>
  </r>
  <r>
    <n v="98"/>
    <s v="2026-06-29"/>
    <x v="7"/>
    <s v="Accessories"/>
    <n v="5"/>
    <n v="62.99"/>
    <n v="0"/>
    <n v="314.95"/>
    <s v="Baku"/>
    <s v="Leyla"/>
    <n v="314.95"/>
    <n v="0"/>
  </r>
  <r>
    <n v="99"/>
    <s v="2026-03-22"/>
    <x v="0"/>
    <s v="Electronics"/>
    <n v="3"/>
    <n v="114.08"/>
    <n v="0.1"/>
    <n v="308.02"/>
    <s v="Sumqayit"/>
    <s v="Kamran"/>
    <n v="308.01600000000002"/>
    <n v="3.999999999962256E-3"/>
  </r>
  <r>
    <n v="100"/>
    <s v="2026-05-15"/>
    <x v="2"/>
    <s v="Furniture"/>
    <n v="2"/>
    <n v="368.63"/>
    <n v="0.05"/>
    <n v="700.4"/>
    <s v="Ganja"/>
    <s v="Nigar"/>
    <n v="700.39699999999993"/>
    <n v="3.0000000000427463E-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s v="2026-06-13"/>
    <s v="Headphones"/>
    <x v="0"/>
    <n v="1"/>
    <n v="124.64"/>
    <n v="0"/>
    <n v="124.64"/>
    <x v="0"/>
    <s v="Leyla"/>
  </r>
  <r>
    <n v="2"/>
    <s v="2026-01-27"/>
    <s v="Headphones"/>
    <x v="0"/>
    <n v="7"/>
    <n v="111.01"/>
    <n v="0"/>
    <n v="777.07"/>
    <x v="0"/>
    <s v="Leyla"/>
  </r>
  <r>
    <n v="3"/>
    <s v="2026-05-10"/>
    <s v="Laptop"/>
    <x v="0"/>
    <n v="4"/>
    <n v="1241.48"/>
    <n v="0.15"/>
    <n v="4221.03"/>
    <x v="1"/>
    <s v="Leyla"/>
  </r>
  <r>
    <n v="4"/>
    <s v="2026-04-25"/>
    <s v="Desk"/>
    <x v="1"/>
    <n v="1"/>
    <n v="364.49"/>
    <n v="0"/>
    <n v="364.49"/>
    <x v="1"/>
    <s v="Nigar"/>
  </r>
  <r>
    <n v="5"/>
    <s v="2026-03-13"/>
    <s v="Smartphone"/>
    <x v="0"/>
    <n v="4"/>
    <n v="912.18"/>
    <n v="0.05"/>
    <n v="3466.28"/>
    <x v="2"/>
    <s v="Aylin"/>
  </r>
  <r>
    <n v="6"/>
    <s v="2026-04-08"/>
    <s v="Headphones"/>
    <x v="0"/>
    <n v="6"/>
    <n v="126.67"/>
    <n v="0.15"/>
    <n v="646.02"/>
    <x v="3"/>
    <s v="Aylin"/>
  </r>
  <r>
    <n v="7"/>
    <s v="2026-04-28"/>
    <s v="Headphones"/>
    <x v="0"/>
    <n v="7"/>
    <n v="111.91"/>
    <n v="0.05"/>
    <n v="744.2"/>
    <x v="3"/>
    <s v="Kamran"/>
  </r>
  <r>
    <n v="8"/>
    <s v="2026-02-19"/>
    <s v="Headphones"/>
    <x v="0"/>
    <n v="1"/>
    <n v="123.1"/>
    <n v="0.05"/>
    <n v="116.94"/>
    <x v="2"/>
    <s v="Leyla"/>
  </r>
  <r>
    <n v="9"/>
    <s v="2026-01-26"/>
    <s v="Pen Set"/>
    <x v="2"/>
    <n v="5"/>
    <n v="11.91"/>
    <n v="0.05"/>
    <n v="56.57"/>
    <x v="0"/>
    <s v="Nigar"/>
  </r>
  <r>
    <n v="10"/>
    <s v="2026-04-01"/>
    <s v="Office Chair"/>
    <x v="1"/>
    <n v="5"/>
    <n v="289.04000000000002"/>
    <n v="0"/>
    <n v="1445.2"/>
    <x v="0"/>
    <s v="Kamran"/>
  </r>
  <r>
    <n v="11"/>
    <s v="2026-03-04"/>
    <s v="Smartphone"/>
    <x v="0"/>
    <n v="8"/>
    <n v="833.61"/>
    <n v="0.15"/>
    <n v="5668.55"/>
    <x v="0"/>
    <s v="Nigar"/>
  </r>
  <r>
    <n v="12"/>
    <s v="2026-01-15"/>
    <s v="Office Chair"/>
    <x v="1"/>
    <n v="1"/>
    <n v="293.67"/>
    <n v="0.1"/>
    <n v="264.3"/>
    <x v="3"/>
    <s v="Aylin"/>
  </r>
  <r>
    <n v="13"/>
    <s v="2026-02-24"/>
    <s v="Notebook"/>
    <x v="2"/>
    <n v="4"/>
    <n v="8.1999999999999993"/>
    <n v="0.1"/>
    <n v="29.52"/>
    <x v="1"/>
    <s v="Leyla"/>
  </r>
  <r>
    <n v="14"/>
    <s v="2026-03-09"/>
    <s v="Smartphone"/>
    <x v="0"/>
    <n v="4"/>
    <n v="883.32"/>
    <n v="0.15"/>
    <n v="3003.29"/>
    <x v="3"/>
    <s v="Kamran"/>
  </r>
  <r>
    <n v="15"/>
    <s v="2026-04-20"/>
    <s v="Pen Set"/>
    <x v="2"/>
    <n v="6"/>
    <n v="11.46"/>
    <n v="0"/>
    <n v="68.760000000000005"/>
    <x v="1"/>
    <s v="Aylin"/>
  </r>
  <r>
    <n v="16"/>
    <s v="2026-01-13"/>
    <s v="Headphones"/>
    <x v="0"/>
    <n v="3"/>
    <n v="122.45"/>
    <n v="0.1"/>
    <n v="330.62"/>
    <x v="2"/>
    <s v="Murad"/>
  </r>
  <r>
    <n v="17"/>
    <s v="2026-04-08"/>
    <s v="Backpack"/>
    <x v="3"/>
    <n v="5"/>
    <n v="69.900000000000006"/>
    <n v="0"/>
    <n v="349.5"/>
    <x v="2"/>
    <s v="Kamran"/>
  </r>
  <r>
    <n v="18"/>
    <s v="2026-03-10"/>
    <s v="Notebook"/>
    <x v="2"/>
    <n v="2"/>
    <n v="7.74"/>
    <n v="0"/>
    <n v="15.48"/>
    <x v="1"/>
    <s v="Aylin"/>
  </r>
  <r>
    <n v="19"/>
    <s v="2026-03-09"/>
    <s v="Smartphone"/>
    <x v="0"/>
    <n v="2"/>
    <n v="900.39"/>
    <n v="0.05"/>
    <n v="1710.74"/>
    <x v="0"/>
    <s v="Leyla"/>
  </r>
  <r>
    <n v="20"/>
    <s v="2026-04-06"/>
    <s v="Smartphone"/>
    <x v="0"/>
    <n v="1"/>
    <n v="863.46"/>
    <n v="0.1"/>
    <n v="777.11"/>
    <x v="2"/>
    <s v="Aylin"/>
  </r>
  <r>
    <n v="21"/>
    <s v="2026-04-03"/>
    <s v="Desk"/>
    <x v="1"/>
    <n v="4"/>
    <n v="325.24"/>
    <n v="0.15"/>
    <n v="1105.82"/>
    <x v="2"/>
    <s v="Aylin"/>
  </r>
  <r>
    <n v="22"/>
    <s v="2026-05-05"/>
    <s v="Headphones"/>
    <x v="0"/>
    <n v="3"/>
    <n v="112.87"/>
    <n v="0.1"/>
    <n v="304.75"/>
    <x v="0"/>
    <s v="Nigar"/>
  </r>
  <r>
    <n v="23"/>
    <s v="2026-05-16"/>
    <s v="Headphones"/>
    <x v="2"/>
    <n v="4"/>
    <n v="12.82"/>
    <n v="0"/>
    <n v="51.28"/>
    <x v="3"/>
    <s v="Murad"/>
  </r>
  <r>
    <n v="24"/>
    <s v="2026-06-21"/>
    <s v="Notebook"/>
    <x v="2"/>
    <n v="8"/>
    <n v="8.51"/>
    <n v="0.1"/>
    <n v="61.27"/>
    <x v="2"/>
    <s v="Leyla"/>
  </r>
  <r>
    <n v="25"/>
    <s v="2026-02-27"/>
    <s v="Headphones"/>
    <x v="0"/>
    <n v="6"/>
    <n v="110.8"/>
    <n v="0.15"/>
    <n v="565.08000000000004"/>
    <x v="0"/>
    <s v="Kamran"/>
  </r>
  <r>
    <n v="26"/>
    <s v="2026-02-26"/>
    <s v="Laptop"/>
    <x v="0"/>
    <n v="2"/>
    <n v="1239.9100000000001"/>
    <n v="0"/>
    <n v="2479.8200000000002"/>
    <x v="0"/>
    <s v="Aylin"/>
  </r>
  <r>
    <n v="27"/>
    <s v="2026-01-09"/>
    <s v="Notebook"/>
    <x v="2"/>
    <n v="2"/>
    <n v="8.02"/>
    <n v="0.05"/>
    <n v="15.24"/>
    <x v="1"/>
    <s v="Leyla"/>
  </r>
  <r>
    <n v="28"/>
    <s v="2026-05-19"/>
    <s v="Smartphone"/>
    <x v="0"/>
    <n v="8"/>
    <n v="815.05"/>
    <n v="0.1"/>
    <n v="5868.36"/>
    <x v="1"/>
    <s v="Leyla"/>
  </r>
  <r>
    <n v="29"/>
    <s v="2026-01-25"/>
    <s v="Headphones"/>
    <x v="0"/>
    <n v="7"/>
    <n v="117.2"/>
    <n v="0.1"/>
    <n v="738.36"/>
    <x v="1"/>
    <s v="Aylin"/>
  </r>
  <r>
    <n v="30"/>
    <s v="2026-06-22"/>
    <s v="Headphones"/>
    <x v="0"/>
    <n v="1"/>
    <n v="118.13"/>
    <n v="0.05"/>
    <n v="112.22"/>
    <x v="2"/>
    <s v="Leyla"/>
  </r>
  <r>
    <n v="31"/>
    <s v="2026-02-19"/>
    <s v="Office Chair"/>
    <x v="1"/>
    <n v="8"/>
    <n v="263.88"/>
    <n v="0"/>
    <n v="2111.04"/>
    <x v="3"/>
    <s v="Murad"/>
  </r>
  <r>
    <n v="32"/>
    <s v="2026-03-05"/>
    <s v="Headphones"/>
    <x v="0"/>
    <n v="8"/>
    <n v="125.91"/>
    <n v="0.15"/>
    <n v="856.19"/>
    <x v="2"/>
    <s v="Aylin"/>
  </r>
  <r>
    <n v="33"/>
    <s v="2026-06-16"/>
    <s v="Laptop"/>
    <x v="0"/>
    <n v="2"/>
    <n v="1281.8599999999999"/>
    <n v="0"/>
    <n v="2563.7199999999998"/>
    <x v="0"/>
    <s v="Murad"/>
  </r>
  <r>
    <n v="34"/>
    <s v="2026-05-05"/>
    <s v="Backpack"/>
    <x v="3"/>
    <n v="4"/>
    <n v="68.790000000000006"/>
    <n v="0"/>
    <n v="275.16000000000003"/>
    <x v="0"/>
    <s v="Murad"/>
  </r>
  <r>
    <n v="35"/>
    <s v="2026-01-01"/>
    <s v="Pen Set"/>
    <x v="2"/>
    <n v="5"/>
    <n v="12.82"/>
    <n v="0.1"/>
    <n v="57.69"/>
    <x v="3"/>
    <s v="Murad"/>
  </r>
  <r>
    <n v="36"/>
    <s v="2026-06-28"/>
    <s v="Backpack"/>
    <x v="3"/>
    <n v="3"/>
    <n v="61.77"/>
    <n v="0"/>
    <n v="185.31"/>
    <x v="2"/>
    <s v="Kamran"/>
  </r>
  <r>
    <n v="37"/>
    <s v="2026-05-19"/>
    <s v="Laptop"/>
    <x v="0"/>
    <n v="6"/>
    <n v="1114.98"/>
    <n v="0.15"/>
    <n v="5686.4"/>
    <x v="1"/>
    <s v="Kamran"/>
  </r>
  <r>
    <n v="38"/>
    <s v="2026-05-16"/>
    <s v="Smartphone"/>
    <x v="0"/>
    <n v="1"/>
    <n v="912.67"/>
    <n v="0"/>
    <n v="912.67"/>
    <x v="0"/>
    <s v="Aylin"/>
  </r>
  <r>
    <n v="39"/>
    <s v="2026-06-02"/>
    <s v="Headphones"/>
    <x v="0"/>
    <n v="4"/>
    <n v="118.15"/>
    <n v="0.15"/>
    <n v="401.71"/>
    <x v="0"/>
    <s v="Kamran"/>
  </r>
  <r>
    <n v="40"/>
    <s v="2026-06-02"/>
    <s v="Laptop"/>
    <x v="0"/>
    <n v="2"/>
    <n v="1184.49"/>
    <n v="0.15"/>
    <n v="2013.63"/>
    <x v="3"/>
    <s v="Nigar"/>
  </r>
  <r>
    <n v="41"/>
    <s v="2026-02-22"/>
    <s v="Notebook"/>
    <x v="2"/>
    <n v="4"/>
    <n v="7.7"/>
    <n v="0"/>
    <n v="30.8"/>
    <x v="3"/>
    <s v="Murad"/>
  </r>
  <r>
    <n v="42"/>
    <s v="2026-03-22"/>
    <s v="Headphones"/>
    <x v="0"/>
    <n v="1"/>
    <n v="119.2"/>
    <n v="0.15"/>
    <n v="101.32"/>
    <x v="2"/>
    <s v="Aylin"/>
  </r>
  <r>
    <n v="43"/>
    <s v="2026-05-18"/>
    <s v="Office Chair"/>
    <x v="1"/>
    <n v="5"/>
    <n v="263.52999999999997"/>
    <n v="0.05"/>
    <n v="1251.77"/>
    <x v="2"/>
    <s v="Leyla"/>
  </r>
  <r>
    <n v="44"/>
    <s v="2026-04-05"/>
    <s v="Desk"/>
    <x v="1"/>
    <n v="3"/>
    <n v="346.54"/>
    <n v="0.15"/>
    <n v="883.68"/>
    <x v="3"/>
    <s v="Kamran"/>
  </r>
  <r>
    <n v="45"/>
    <s v="2026-06-17"/>
    <s v="Laptop"/>
    <x v="0"/>
    <n v="5"/>
    <n v="1282.9000000000001"/>
    <n v="0"/>
    <n v="6414.5"/>
    <x v="0"/>
    <s v="Nigar"/>
  </r>
  <r>
    <n v="46"/>
    <s v="2026-01-30"/>
    <s v="Headphones"/>
    <x v="0"/>
    <n v="3"/>
    <n v="115.63"/>
    <n v="0.15"/>
    <n v="294.86"/>
    <x v="0"/>
    <s v="Nigar"/>
  </r>
  <r>
    <n v="47"/>
    <s v="2026-02-22"/>
    <s v="Desk"/>
    <x v="1"/>
    <n v="8"/>
    <n v="336.06"/>
    <n v="0"/>
    <n v="2688.48"/>
    <x v="2"/>
    <s v="Murad"/>
  </r>
  <r>
    <n v="48"/>
    <s v="2026-03-12"/>
    <s v="Laptop"/>
    <x v="0"/>
    <n v="1"/>
    <n v="1168.04"/>
    <n v="0"/>
    <n v="1168.04"/>
    <x v="3"/>
    <s v="Leyla"/>
  </r>
  <r>
    <n v="49"/>
    <s v="2026-04-24"/>
    <s v="Pen Set"/>
    <x v="2"/>
    <n v="1"/>
    <n v="11.25"/>
    <n v="0"/>
    <n v="11.25"/>
    <x v="2"/>
    <s v="Nigar"/>
  </r>
  <r>
    <n v="50"/>
    <s v="2026-05-30"/>
    <s v="Smartphone"/>
    <x v="0"/>
    <n v="7"/>
    <n v="799.33"/>
    <n v="0.05"/>
    <n v="5315.54"/>
    <x v="3"/>
    <s v="Aylin"/>
  </r>
  <r>
    <n v="51"/>
    <s v="2026-04-02"/>
    <s v="Office Chair"/>
    <x v="1"/>
    <n v="4"/>
    <n v="287.48"/>
    <n v="0.05"/>
    <n v="1092.42"/>
    <x v="1"/>
    <s v="Kamran"/>
  </r>
  <r>
    <n v="52"/>
    <s v="2026-02-09"/>
    <s v="Office Chair"/>
    <x v="1"/>
    <n v="3"/>
    <n v="301.33"/>
    <n v="0"/>
    <n v="903.99"/>
    <x v="1"/>
    <s v="Aylin"/>
  </r>
  <r>
    <n v="53"/>
    <s v="2026-02-15"/>
    <s v="Notebook"/>
    <x v="2"/>
    <n v="7"/>
    <n v="8.39"/>
    <n v="0"/>
    <n v="58.73"/>
    <x v="3"/>
    <s v="Leyla"/>
  </r>
  <r>
    <n v="54"/>
    <s v="2026-06-29"/>
    <s v="Headphones"/>
    <x v="0"/>
    <n v="7"/>
    <n v="127.15"/>
    <n v="0.1"/>
    <n v="801.05"/>
    <x v="0"/>
    <s v="Leyla"/>
  </r>
  <r>
    <n v="55"/>
    <s v="2026-04-28"/>
    <s v="Notebook"/>
    <x v="2"/>
    <n v="5"/>
    <n v="8.41"/>
    <n v="0"/>
    <n v="42.05"/>
    <x v="0"/>
    <s v="Aylin"/>
  </r>
  <r>
    <n v="56"/>
    <s v="2026-06-18"/>
    <s v="Office Chair"/>
    <x v="1"/>
    <n v="7"/>
    <n v="272.31"/>
    <n v="0"/>
    <n v="1906.17"/>
    <x v="3"/>
    <s v="Nigar"/>
  </r>
  <r>
    <n v="57"/>
    <s v="2026-06-14"/>
    <s v="Pen Set"/>
    <x v="2"/>
    <n v="6"/>
    <n v="12.84"/>
    <n v="0"/>
    <n v="77.040000000000006"/>
    <x v="3"/>
    <s v="Leyla"/>
  </r>
  <r>
    <n v="58"/>
    <s v="2026-05-29"/>
    <s v="Desk"/>
    <x v="1"/>
    <n v="1"/>
    <n v="328.07"/>
    <n v="0.1"/>
    <n v="295.26"/>
    <x v="3"/>
    <s v="Nigar"/>
  </r>
  <r>
    <n v="59"/>
    <s v="2026-04-22"/>
    <s v="Headphones"/>
    <x v="0"/>
    <n v="7"/>
    <n v="127.67"/>
    <n v="0"/>
    <n v="893.69"/>
    <x v="3"/>
    <s v="Aylin"/>
  </r>
  <r>
    <n v="60"/>
    <s v="2026-07-01"/>
    <s v="Pen Set"/>
    <x v="2"/>
    <n v="1"/>
    <n v="12.04"/>
    <n v="0.15"/>
    <n v="10.23"/>
    <x v="0"/>
    <s v="Nigar"/>
  </r>
  <r>
    <n v="61"/>
    <s v="2026-04-21"/>
    <s v="Headphones"/>
    <x v="0"/>
    <n v="6"/>
    <n v="122.36"/>
    <n v="0"/>
    <n v="734.16"/>
    <x v="3"/>
    <s v="Kamran"/>
  </r>
  <r>
    <n v="62"/>
    <s v="2026-03-21"/>
    <s v="Pen Set"/>
    <x v="2"/>
    <n v="6"/>
    <n v="11.81"/>
    <n v="0.05"/>
    <n v="67.319999999999993"/>
    <x v="0"/>
    <s v=" Leyla"/>
  </r>
  <r>
    <n v="63"/>
    <s v="2026-04-18"/>
    <s v="Pen Set"/>
    <x v="2"/>
    <n v="3"/>
    <n v="12.22"/>
    <n v="0.05"/>
    <n v="34.83"/>
    <x v="1"/>
    <s v="Kamran"/>
  </r>
  <r>
    <n v="64"/>
    <s v="2026-01-01"/>
    <s v="Desk"/>
    <x v="1"/>
    <n v="5"/>
    <n v="333.77"/>
    <n v="0.15"/>
    <n v="1418.52"/>
    <x v="3"/>
    <s v="Murad"/>
  </r>
  <r>
    <n v="65"/>
    <s v="2026-04-24"/>
    <s v="Backpack"/>
    <x v="3"/>
    <n v="4"/>
    <n v="65.12"/>
    <n v="0"/>
    <n v="260.48"/>
    <x v="2"/>
    <s v="Nigar"/>
  </r>
  <r>
    <n v="66"/>
    <s v="2026-05-12"/>
    <s v="Notebook"/>
    <x v="2"/>
    <n v="2"/>
    <n v="8.41"/>
    <n v="0"/>
    <n v="16.82"/>
    <x v="3"/>
    <s v="Leyla"/>
  </r>
  <r>
    <n v="67"/>
    <s v="2026-02-20"/>
    <s v="Smartphone"/>
    <x v="0"/>
    <n v="1"/>
    <n v="788.29"/>
    <n v="0.1"/>
    <n v="709.46"/>
    <x v="2"/>
    <s v="Murad"/>
  </r>
  <r>
    <n v="68"/>
    <s v="2026-04-17"/>
    <s v="Office Chair"/>
    <x v="1"/>
    <n v="7"/>
    <n v="279.75"/>
    <n v="0"/>
    <n v="1958.25"/>
    <x v="0"/>
    <s v="Aylin"/>
  </r>
  <r>
    <n v="69"/>
    <s v="2026-01-28"/>
    <s v="Pen Set"/>
    <x v="2"/>
    <n v="4"/>
    <n v="11.38"/>
    <n v="0.15"/>
    <n v="38.69"/>
    <x v="1"/>
    <s v="Aylin"/>
  </r>
  <r>
    <n v="70"/>
    <s v="2026-05-23"/>
    <s v="Office Chair"/>
    <x v="1"/>
    <n v="2"/>
    <n v="278.05"/>
    <n v="0.1"/>
    <n v="500.49"/>
    <x v="3"/>
    <s v="Murad"/>
  </r>
  <r>
    <n v="71"/>
    <s v="2026-06-06"/>
    <s v="Pen Set"/>
    <x v="2"/>
    <n v="8"/>
    <n v="12.76"/>
    <n v="0.1"/>
    <n v="91.87"/>
    <x v="1"/>
    <s v="Nigar"/>
  </r>
  <r>
    <n v="72"/>
    <s v="2026-03-05"/>
    <s v="Desk"/>
    <x v="1"/>
    <n v="8"/>
    <n v="357.1"/>
    <n v="0.05"/>
    <n v="2713.96"/>
    <x v="1"/>
    <s v="Aylin"/>
  </r>
  <r>
    <n v="73"/>
    <s v="2026-03-15"/>
    <s v="Office Chair"/>
    <x v="1"/>
    <n v="5"/>
    <n v="272.64999999999998"/>
    <n v="0.15"/>
    <n v="1158.76"/>
    <x v="2"/>
    <s v="Leyla"/>
  </r>
  <r>
    <n v="74"/>
    <s v="2026-02-08"/>
    <s v="Office Chair"/>
    <x v="1"/>
    <n v="7"/>
    <n v="288.69"/>
    <n v="0"/>
    <n v="2020.83"/>
    <x v="2"/>
    <s v="Murad"/>
  </r>
  <r>
    <n v="75"/>
    <s v="2026-04-15"/>
    <s v="Notebook"/>
    <x v="2"/>
    <n v="8"/>
    <n v="7.89"/>
    <n v="0"/>
    <n v="63.12"/>
    <x v="1"/>
    <s v="Murad"/>
  </r>
  <r>
    <n v="76"/>
    <s v="2026-05-30"/>
    <s v="Laptop"/>
    <x v="0"/>
    <n v="7"/>
    <n v="1195.58"/>
    <n v="0.05"/>
    <n v="7950.61"/>
    <x v="3"/>
    <s v="Murad"/>
  </r>
  <r>
    <n v="77"/>
    <s v="2026-04-18"/>
    <s v="Office Chair"/>
    <x v="1"/>
    <n v="8"/>
    <n v="267.43"/>
    <n v="0.1"/>
    <n v="1925.5"/>
    <x v="1"/>
    <s v="Aylin"/>
  </r>
  <r>
    <n v="78"/>
    <s v="2026-04-10"/>
    <s v="Notebook"/>
    <x v="2"/>
    <n v="7"/>
    <n v="8.2899999999999991"/>
    <n v="0.1"/>
    <n v="52.23"/>
    <x v="0"/>
    <s v="Kamran"/>
  </r>
  <r>
    <n v="79"/>
    <s v="2026-05-17"/>
    <s v="Laptop"/>
    <x v="0"/>
    <n v="7"/>
    <n v="1217.6400000000001"/>
    <n v="0"/>
    <n v="8523.48"/>
    <x v="2"/>
    <s v="Murad"/>
  </r>
  <r>
    <n v="80"/>
    <s v="2026-02-04"/>
    <s v="Backpack"/>
    <x v="3"/>
    <n v="3"/>
    <n v="60.32"/>
    <n v="0.1"/>
    <n v="162.86000000000001"/>
    <x v="3"/>
    <s v="Leyla"/>
  </r>
  <r>
    <n v="81"/>
    <s v="2026-04-27"/>
    <s v="Notebook"/>
    <x v="2"/>
    <n v="6"/>
    <n v="8.33"/>
    <n v="0.1"/>
    <n v="44.98"/>
    <x v="3"/>
    <s v="Murad"/>
  </r>
  <r>
    <n v="82"/>
    <s v="2026-03-06"/>
    <s v="Headphones"/>
    <x v="0"/>
    <n v="8"/>
    <n v="110.77"/>
    <n v="0.15"/>
    <n v="753.24"/>
    <x v="2"/>
    <s v="Nigar"/>
  </r>
  <r>
    <n v="83"/>
    <s v="2026-02-27"/>
    <s v="Headphones"/>
    <x v="0"/>
    <n v="1"/>
    <n v="124.88"/>
    <n v="0"/>
    <n v="124.88"/>
    <x v="0"/>
    <s v="Aylin"/>
  </r>
  <r>
    <n v="84"/>
    <s v="2026-06-09"/>
    <s v="Smartphone"/>
    <x v="0"/>
    <n v="4"/>
    <n v="799.17"/>
    <n v="0"/>
    <n v="3196.68"/>
    <x v="0"/>
    <s v="Murad"/>
  </r>
  <r>
    <n v="85"/>
    <s v="2026-06-29"/>
    <s v="Desk"/>
    <x v="1"/>
    <n v="6"/>
    <n v="331.4"/>
    <n v="0.15"/>
    <n v="1690.14"/>
    <x v="2"/>
    <s v="Leyla"/>
  </r>
  <r>
    <n v="86"/>
    <s v="2026-03-21"/>
    <s v="Headphones"/>
    <x v="0"/>
    <n v="1"/>
    <n v="128.22999999999999"/>
    <n v="0.15"/>
    <n v="109"/>
    <x v="1"/>
    <s v="Murad"/>
  </r>
  <r>
    <n v="87"/>
    <s v="2026-02-20"/>
    <s v="Headphones"/>
    <x v="0"/>
    <n v="4"/>
    <n v="112.36"/>
    <n v="0.05"/>
    <n v="426.97"/>
    <x v="2"/>
    <s v="Kamran"/>
  </r>
  <r>
    <n v="88"/>
    <s v="2026-01-11"/>
    <s v="Notebook"/>
    <x v="2"/>
    <n v="7"/>
    <n v="8.2100000000000009"/>
    <n v="0"/>
    <n v="57.47"/>
    <x v="3"/>
    <s v="Aylin"/>
  </r>
  <r>
    <n v="89"/>
    <s v="2026-04-18"/>
    <s v="Backpack"/>
    <x v="3"/>
    <n v="2"/>
    <n v="64.31"/>
    <n v="0.05"/>
    <n v="122.19"/>
    <x v="1"/>
    <s v="Leyla"/>
  </r>
  <r>
    <n v="90"/>
    <s v="2026-04-22"/>
    <s v="Smartphone"/>
    <x v="0"/>
    <n v="5"/>
    <n v="865.76"/>
    <n v="0.15"/>
    <n v="3679.48"/>
    <x v="1"/>
    <s v="Murad"/>
  </r>
  <r>
    <n v="91"/>
    <s v="2026-04-22"/>
    <s v="Desk"/>
    <x v="1"/>
    <n v="6"/>
    <n v="369.7"/>
    <n v="0"/>
    <n v="2218.1999999999998"/>
    <x v="3"/>
    <s v="Murad"/>
  </r>
  <r>
    <n v="92"/>
    <s v="2026-03-04"/>
    <s v="Backpack"/>
    <x v="3"/>
    <n v="7"/>
    <n v="63.3"/>
    <n v="0.1"/>
    <n v="398.79"/>
    <x v="3"/>
    <s v="Leyla"/>
  </r>
  <r>
    <n v="93"/>
    <s v="2026-05-05"/>
    <s v="Office Chair"/>
    <x v="1"/>
    <n v="6"/>
    <n v="293.33999999999997"/>
    <n v="0.05"/>
    <n v="1672.04"/>
    <x v="3"/>
    <s v="Kamran"/>
  </r>
  <r>
    <n v="94"/>
    <s v="2026-06-29"/>
    <s v="Desk"/>
    <x v="1"/>
    <n v="1"/>
    <n v="350.93"/>
    <n v="0"/>
    <n v="350.93"/>
    <x v="2"/>
    <s v="Leyla"/>
  </r>
  <r>
    <n v="95"/>
    <s v="2026-04-15"/>
    <s v="Backpack"/>
    <x v="3"/>
    <n v="4"/>
    <n v="66.98"/>
    <n v="0.1"/>
    <n v="241.13"/>
    <x v="1"/>
    <s v="Aylin"/>
  </r>
  <r>
    <n v="96"/>
    <s v="2026-01-24"/>
    <s v="Desk"/>
    <x v="1"/>
    <n v="4"/>
    <n v="344.65"/>
    <n v="0"/>
    <n v="1378.6"/>
    <x v="3"/>
    <s v="Kamran"/>
  </r>
  <r>
    <n v="97"/>
    <s v="2026-04-05"/>
    <s v="Backpack"/>
    <x v="3"/>
    <n v="6"/>
    <n v="64.23"/>
    <n v="0.15"/>
    <n v="327.57"/>
    <x v="3"/>
    <s v="Nigar"/>
  </r>
  <r>
    <n v="98"/>
    <s v="2026-06-29"/>
    <s v="Backpack"/>
    <x v="3"/>
    <n v="5"/>
    <n v="62.99"/>
    <n v="0"/>
    <n v="314.95"/>
    <x v="2"/>
    <s v="Leyla"/>
  </r>
  <r>
    <n v="99"/>
    <s v="2026-03-22"/>
    <s v="Headphones"/>
    <x v="0"/>
    <n v="3"/>
    <n v="114.08"/>
    <n v="0.1"/>
    <n v="308.02"/>
    <x v="3"/>
    <s v="Kamran"/>
  </r>
  <r>
    <n v="100"/>
    <s v="2026-05-15"/>
    <s v="Desk"/>
    <x v="1"/>
    <n v="2"/>
    <n v="368.63"/>
    <n v="0.05"/>
    <n v="700.4"/>
    <x v="0"/>
    <s v="Niga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8D4664-ECD5-4718-A077-C409E724833E}" name="Сводная таблица1" cacheId="16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multipleFieldFilters="0" chartFormat="5">
  <location ref="A3:C12" firstHeaderRow="0" firstDataRow="1" firstDataCol="1"/>
  <pivotFields count="12">
    <pivotField compact="0" outline="0" showAll="0"/>
    <pivotField compact="0" outline="0" showAll="0"/>
    <pivotField axis="axisRow" compact="0" outline="0" showAll="0" sortType="descending">
      <items count="9">
        <item x="7"/>
        <item x="2"/>
        <item x="0"/>
        <item x="1"/>
        <item x="6"/>
        <item x="5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9">
    <i>
      <x v="3"/>
    </i>
    <i>
      <x v="7"/>
    </i>
    <i>
      <x v="5"/>
    </i>
    <i>
      <x v="1"/>
    </i>
    <i>
      <x v="2"/>
    </i>
    <i>
      <x/>
    </i>
    <i>
      <x v="6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Revenue" fld="7" baseField="0" baseItem="0"/>
    <dataField name="Сумма по полю Quantity" fld="4" baseField="0" baseItem="0"/>
  </dataFields>
  <chartFormats count="8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6AA0C6-58CA-4740-BAAB-70A1C8805E7E}" name="Сводная таблица5" cacheId="17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multipleFieldFilters="0" chartFormat="5">
  <location ref="A1:B6" firstHeaderRow="1" firstDataRow="1" firstDataCol="1"/>
  <pivotFields count="1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Сумма по полю Revenue" fld="7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7EE79D-7F50-405E-9FD5-829327AFB6AF}" name="Сводная таблица7" cacheId="17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multipleFieldFilters="0" chartFormat="5">
  <location ref="A1:B6" firstHeaderRow="1" firstDataRow="1" firstDataCol="1"/>
  <pivotFields count="10"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Сумма по полю Revenue" fld="7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EA5D3-1BC0-4DDC-AAF6-13AF4BB464AA}">
  <dimension ref="A3:C12"/>
  <sheetViews>
    <sheetView workbookViewId="0">
      <selection activeCell="C4" sqref="C4"/>
    </sheetView>
  </sheetViews>
  <sheetFormatPr defaultRowHeight="15"/>
  <cols>
    <col min="1" max="1" width="12.28515625" bestFit="1" customWidth="1"/>
    <col min="2" max="2" width="24.28515625" bestFit="1" customWidth="1"/>
    <col min="3" max="3" width="24.42578125" bestFit="1" customWidth="1"/>
  </cols>
  <sheetData>
    <row r="3" spans="1:3">
      <c r="A3" s="2" t="s">
        <v>0</v>
      </c>
      <c r="B3" t="s">
        <v>1</v>
      </c>
      <c r="C3" t="s">
        <v>2</v>
      </c>
    </row>
    <row r="4" spans="1:3">
      <c r="A4" t="s">
        <v>3</v>
      </c>
      <c r="B4" s="3">
        <v>41021.229999999996</v>
      </c>
      <c r="C4" s="3">
        <v>36</v>
      </c>
    </row>
    <row r="5" spans="1:3">
      <c r="A5" t="s">
        <v>4</v>
      </c>
      <c r="B5" s="3">
        <v>34308.159999999996</v>
      </c>
      <c r="C5" s="3">
        <v>45</v>
      </c>
    </row>
    <row r="6" spans="1:3">
      <c r="A6" t="s">
        <v>5</v>
      </c>
      <c r="B6" s="3">
        <v>18210.760000000002</v>
      </c>
      <c r="C6" s="3">
        <v>68</v>
      </c>
    </row>
    <row r="7" spans="1:3">
      <c r="A7" t="s">
        <v>6</v>
      </c>
      <c r="B7" s="3">
        <v>15808.48</v>
      </c>
      <c r="C7" s="3">
        <v>49</v>
      </c>
    </row>
    <row r="8" spans="1:3">
      <c r="A8" t="s">
        <v>7</v>
      </c>
      <c r="B8" s="3">
        <v>10316.269999999999</v>
      </c>
      <c r="C8" s="3">
        <v>99</v>
      </c>
    </row>
    <row r="9" spans="1:3">
      <c r="A9" t="s">
        <v>8</v>
      </c>
      <c r="B9" s="3">
        <v>2637.94</v>
      </c>
      <c r="C9" s="3">
        <v>43</v>
      </c>
    </row>
    <row r="10" spans="1:3">
      <c r="A10" t="s">
        <v>9</v>
      </c>
      <c r="B10" s="3">
        <v>514.25</v>
      </c>
      <c r="C10" s="3">
        <v>45</v>
      </c>
    </row>
    <row r="11" spans="1:3">
      <c r="A11" t="s">
        <v>10</v>
      </c>
      <c r="B11" s="3">
        <v>487.71000000000004</v>
      </c>
      <c r="C11" s="3">
        <v>62</v>
      </c>
    </row>
    <row r="12" spans="1:3">
      <c r="A12" t="s">
        <v>11</v>
      </c>
      <c r="B12" s="3">
        <v>123304.79999999999</v>
      </c>
      <c r="C12" s="3">
        <v>447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39207-5C4C-4188-A6C8-2AD27AD33027}">
  <dimension ref="A1:B6"/>
  <sheetViews>
    <sheetView workbookViewId="0">
      <selection sqref="A1:B1048576"/>
    </sheetView>
  </sheetViews>
  <sheetFormatPr defaultRowHeight="15"/>
  <cols>
    <col min="1" max="1" width="12.28515625" bestFit="1" customWidth="1"/>
    <col min="2" max="2" width="24.28515625" bestFit="1" customWidth="1"/>
  </cols>
  <sheetData>
    <row r="1" spans="1:2">
      <c r="A1" s="2" t="s">
        <v>12</v>
      </c>
      <c r="B1" t="s">
        <v>1</v>
      </c>
    </row>
    <row r="2" spans="1:2">
      <c r="A2" t="s">
        <v>13</v>
      </c>
      <c r="B2" s="3">
        <v>27623.320000000003</v>
      </c>
    </row>
    <row r="3" spans="1:2">
      <c r="A3" t="s">
        <v>14</v>
      </c>
      <c r="B3" s="3">
        <v>30948.129999999997</v>
      </c>
    </row>
    <row r="4" spans="1:2">
      <c r="A4" t="s">
        <v>15</v>
      </c>
      <c r="B4" s="3">
        <v>28023.819999999996</v>
      </c>
    </row>
    <row r="5" spans="1:2">
      <c r="A5" t="s">
        <v>16</v>
      </c>
      <c r="B5" s="3">
        <v>36709.529999999992</v>
      </c>
    </row>
    <row r="6" spans="1:2">
      <c r="A6" t="s">
        <v>11</v>
      </c>
      <c r="B6" s="3">
        <v>123304.79999999999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97C8C-F4B4-4A07-97D4-57D359A47BDB}">
  <dimension ref="A1:B6"/>
  <sheetViews>
    <sheetView workbookViewId="0">
      <selection sqref="A1:B6"/>
    </sheetView>
  </sheetViews>
  <sheetFormatPr defaultRowHeight="15"/>
  <cols>
    <col min="1" max="1" width="12.28515625" bestFit="1" customWidth="1"/>
    <col min="2" max="2" width="24.28515625" bestFit="1" customWidth="1"/>
  </cols>
  <sheetData>
    <row r="1" spans="1:2">
      <c r="A1" s="2" t="s">
        <v>17</v>
      </c>
      <c r="B1" t="s">
        <v>1</v>
      </c>
    </row>
    <row r="2" spans="1:2">
      <c r="A2" t="s">
        <v>18</v>
      </c>
      <c r="B2" s="3">
        <v>2637.94</v>
      </c>
    </row>
    <row r="3" spans="1:2">
      <c r="A3" t="s">
        <v>19</v>
      </c>
      <c r="B3" s="3">
        <v>85594.38</v>
      </c>
    </row>
    <row r="4" spans="1:2">
      <c r="A4" t="s">
        <v>20</v>
      </c>
      <c r="B4" s="3">
        <v>34019.240000000005</v>
      </c>
    </row>
    <row r="5" spans="1:2">
      <c r="A5" t="s">
        <v>21</v>
      </c>
      <c r="B5" s="3">
        <v>1053.2400000000002</v>
      </c>
    </row>
    <row r="6" spans="1:2">
      <c r="A6" t="s">
        <v>11</v>
      </c>
      <c r="B6" s="3">
        <v>123304.80000000002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5AC5A-A0D6-4280-BF72-B6791A0837A1}">
  <dimension ref="A1:K35"/>
  <sheetViews>
    <sheetView tabSelected="1" workbookViewId="0">
      <selection activeCell="D3" sqref="D3"/>
    </sheetView>
  </sheetViews>
  <sheetFormatPr defaultRowHeight="15"/>
  <cols>
    <col min="1" max="1" width="39.5703125" customWidth="1"/>
    <col min="2" max="2" width="17.85546875" customWidth="1"/>
    <col min="3" max="3" width="18.140625" customWidth="1"/>
    <col min="4" max="4" width="23" customWidth="1"/>
  </cols>
  <sheetData>
    <row r="1" spans="1:11" ht="18.75">
      <c r="A1" s="4" t="s">
        <v>22</v>
      </c>
    </row>
    <row r="2" spans="1:11" ht="18.75">
      <c r="A2" s="5" t="s">
        <v>23</v>
      </c>
      <c r="B2" s="8" t="s">
        <v>24</v>
      </c>
      <c r="C2" s="8" t="s">
        <v>25</v>
      </c>
      <c r="D2" s="5" t="s">
        <v>26</v>
      </c>
    </row>
    <row r="3" spans="1:11" ht="21">
      <c r="A3" s="6" t="s">
        <v>27</v>
      </c>
      <c r="B3" s="7">
        <v>100</v>
      </c>
      <c r="C3" s="10">
        <v>447</v>
      </c>
      <c r="D3" s="9" t="s">
        <v>28</v>
      </c>
    </row>
    <row r="4" spans="1:1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>
      <c r="A5" s="12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1:1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 spans="1:1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 spans="1:1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 spans="1:1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</row>
    <row r="30" spans="1:1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workbookViewId="0">
      <selection activeCell="K10" sqref="K10"/>
    </sheetView>
  </sheetViews>
  <sheetFormatPr defaultRowHeight="15"/>
  <cols>
    <col min="11" max="11" width="47.140625" customWidth="1"/>
    <col min="12" max="12" width="16.28515625" customWidth="1"/>
    <col min="13" max="13" width="19.140625" customWidth="1"/>
  </cols>
  <sheetData>
    <row r="1" spans="1:12">
      <c r="A1" s="1" t="s">
        <v>29</v>
      </c>
      <c r="B1" s="1" t="s">
        <v>30</v>
      </c>
      <c r="C1" s="1" t="s">
        <v>0</v>
      </c>
      <c r="D1" s="1" t="s">
        <v>17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12</v>
      </c>
      <c r="J1" s="1" t="s">
        <v>35</v>
      </c>
      <c r="K1" t="s">
        <v>36</v>
      </c>
      <c r="L1" t="s">
        <v>37</v>
      </c>
    </row>
    <row r="2" spans="1:12">
      <c r="A2">
        <v>1</v>
      </c>
      <c r="B2" t="s">
        <v>38</v>
      </c>
      <c r="C2" t="s">
        <v>7</v>
      </c>
      <c r="D2" t="s">
        <v>19</v>
      </c>
      <c r="E2">
        <v>1</v>
      </c>
      <c r="F2">
        <v>124.64</v>
      </c>
      <c r="G2">
        <v>0</v>
      </c>
      <c r="H2">
        <v>124.64</v>
      </c>
      <c r="I2" t="s">
        <v>14</v>
      </c>
      <c r="J2" t="s">
        <v>39</v>
      </c>
      <c r="K2">
        <f>E2*F2*(1-G2)</f>
        <v>124.64</v>
      </c>
      <c r="L2">
        <f>H2-K2</f>
        <v>0</v>
      </c>
    </row>
    <row r="3" spans="1:12">
      <c r="A3">
        <v>2</v>
      </c>
      <c r="B3" t="s">
        <v>40</v>
      </c>
      <c r="C3" t="s">
        <v>7</v>
      </c>
      <c r="D3" t="s">
        <v>19</v>
      </c>
      <c r="E3">
        <v>7</v>
      </c>
      <c r="F3">
        <v>111.01</v>
      </c>
      <c r="G3">
        <v>0</v>
      </c>
      <c r="H3">
        <v>777.07</v>
      </c>
      <c r="I3" t="s">
        <v>14</v>
      </c>
      <c r="J3" t="s">
        <v>39</v>
      </c>
      <c r="K3">
        <f>E3*F3*(1-G3)</f>
        <v>777.07</v>
      </c>
      <c r="L3">
        <f>H3-K3</f>
        <v>0</v>
      </c>
    </row>
    <row r="4" spans="1:12">
      <c r="A4">
        <v>3</v>
      </c>
      <c r="B4" t="s">
        <v>41</v>
      </c>
      <c r="C4" t="s">
        <v>3</v>
      </c>
      <c r="D4" t="s">
        <v>19</v>
      </c>
      <c r="E4">
        <v>4</v>
      </c>
      <c r="F4">
        <v>1241.48</v>
      </c>
      <c r="G4">
        <v>0.15</v>
      </c>
      <c r="H4">
        <v>4221.03</v>
      </c>
      <c r="I4" t="s">
        <v>15</v>
      </c>
      <c r="J4" t="s">
        <v>39</v>
      </c>
      <c r="K4">
        <f>E4*F4*(1-G4)</f>
        <v>4221.0320000000002</v>
      </c>
      <c r="L4">
        <f>H4-K4</f>
        <v>-2.0000000004074536E-3</v>
      </c>
    </row>
    <row r="5" spans="1:12">
      <c r="A5">
        <v>4</v>
      </c>
      <c r="B5" t="s">
        <v>42</v>
      </c>
      <c r="C5" t="s">
        <v>6</v>
      </c>
      <c r="D5" t="s">
        <v>20</v>
      </c>
      <c r="E5">
        <v>1</v>
      </c>
      <c r="F5">
        <v>364.49</v>
      </c>
      <c r="G5">
        <v>0</v>
      </c>
      <c r="H5">
        <v>364.49</v>
      </c>
      <c r="I5" t="s">
        <v>15</v>
      </c>
      <c r="J5" t="s">
        <v>43</v>
      </c>
      <c r="K5">
        <f>E5*F5*(1-G5)</f>
        <v>364.49</v>
      </c>
      <c r="L5">
        <f>H5-K5</f>
        <v>0</v>
      </c>
    </row>
    <row r="6" spans="1:12">
      <c r="A6">
        <v>5</v>
      </c>
      <c r="B6" t="s">
        <v>44</v>
      </c>
      <c r="C6" t="s">
        <v>4</v>
      </c>
      <c r="D6" t="s">
        <v>19</v>
      </c>
      <c r="E6">
        <v>4</v>
      </c>
      <c r="F6">
        <v>912.18</v>
      </c>
      <c r="G6">
        <v>0.05</v>
      </c>
      <c r="H6">
        <v>3466.28</v>
      </c>
      <c r="I6" t="s">
        <v>13</v>
      </c>
      <c r="J6" t="s">
        <v>45</v>
      </c>
      <c r="K6">
        <f>E6*F6*(1-G6)</f>
        <v>3466.2839999999997</v>
      </c>
      <c r="L6">
        <f>H6-K6</f>
        <v>-3.9999999994506652E-3</v>
      </c>
    </row>
    <row r="7" spans="1:12">
      <c r="A7">
        <v>6</v>
      </c>
      <c r="B7" t="s">
        <v>46</v>
      </c>
      <c r="C7" t="s">
        <v>7</v>
      </c>
      <c r="D7" t="s">
        <v>19</v>
      </c>
      <c r="E7">
        <v>6</v>
      </c>
      <c r="F7">
        <v>126.67</v>
      </c>
      <c r="G7">
        <v>0.15</v>
      </c>
      <c r="H7">
        <v>646.02</v>
      </c>
      <c r="I7" t="s">
        <v>16</v>
      </c>
      <c r="J7" t="s">
        <v>45</v>
      </c>
      <c r="K7">
        <f>E7*F7*(1-G7)</f>
        <v>646.01699999999994</v>
      </c>
      <c r="L7">
        <f>H7-K7</f>
        <v>3.0000000000427463E-3</v>
      </c>
    </row>
    <row r="8" spans="1:12">
      <c r="A8">
        <v>7</v>
      </c>
      <c r="B8" t="s">
        <v>47</v>
      </c>
      <c r="C8" t="s">
        <v>7</v>
      </c>
      <c r="D8" t="s">
        <v>19</v>
      </c>
      <c r="E8">
        <v>7</v>
      </c>
      <c r="F8">
        <v>111.91</v>
      </c>
      <c r="G8">
        <v>0.05</v>
      </c>
      <c r="H8">
        <v>744.2</v>
      </c>
      <c r="I8" t="s">
        <v>16</v>
      </c>
      <c r="J8" t="s">
        <v>48</v>
      </c>
      <c r="K8">
        <f>E8*F8*(1-G8)</f>
        <v>744.20150000000001</v>
      </c>
      <c r="L8">
        <f>H8-K8</f>
        <v>-1.4999999999645297E-3</v>
      </c>
    </row>
    <row r="9" spans="1:12">
      <c r="A9">
        <v>8</v>
      </c>
      <c r="B9" t="s">
        <v>49</v>
      </c>
      <c r="C9" t="s">
        <v>7</v>
      </c>
      <c r="D9" t="s">
        <v>19</v>
      </c>
      <c r="E9">
        <v>1</v>
      </c>
      <c r="F9">
        <v>123.1</v>
      </c>
      <c r="G9">
        <v>0.05</v>
      </c>
      <c r="H9">
        <v>116.94</v>
      </c>
      <c r="I9" t="s">
        <v>13</v>
      </c>
      <c r="J9" t="s">
        <v>39</v>
      </c>
      <c r="K9">
        <f>E9*F9*(1-G9)</f>
        <v>116.94499999999999</v>
      </c>
      <c r="L9">
        <f>H9-K9</f>
        <v>-4.9999999999954525E-3</v>
      </c>
    </row>
    <row r="10" spans="1:12">
      <c r="A10">
        <v>9</v>
      </c>
      <c r="B10" t="s">
        <v>50</v>
      </c>
      <c r="C10" t="s">
        <v>9</v>
      </c>
      <c r="D10" t="s">
        <v>21</v>
      </c>
      <c r="E10">
        <v>5</v>
      </c>
      <c r="F10">
        <v>11.91</v>
      </c>
      <c r="G10">
        <v>0.05</v>
      </c>
      <c r="H10">
        <v>56.57</v>
      </c>
      <c r="I10" t="s">
        <v>14</v>
      </c>
      <c r="J10" t="s">
        <v>43</v>
      </c>
      <c r="K10">
        <f>E10*F10*(1-G10)</f>
        <v>56.572499999999998</v>
      </c>
      <c r="L10">
        <f>H10-K10</f>
        <v>-2.4999999999977263E-3</v>
      </c>
    </row>
    <row r="11" spans="1:12">
      <c r="A11">
        <v>10</v>
      </c>
      <c r="B11" t="s">
        <v>51</v>
      </c>
      <c r="C11" t="s">
        <v>5</v>
      </c>
      <c r="D11" t="s">
        <v>20</v>
      </c>
      <c r="E11">
        <v>5</v>
      </c>
      <c r="F11">
        <v>289.04000000000002</v>
      </c>
      <c r="G11">
        <v>0</v>
      </c>
      <c r="H11">
        <v>1445.2</v>
      </c>
      <c r="I11" t="s">
        <v>14</v>
      </c>
      <c r="J11" t="s">
        <v>48</v>
      </c>
      <c r="K11">
        <f>E11*F11*(1-G11)</f>
        <v>1445.2</v>
      </c>
      <c r="L11">
        <f>H11-K11</f>
        <v>0</v>
      </c>
    </row>
    <row r="12" spans="1:12">
      <c r="A12">
        <v>11</v>
      </c>
      <c r="B12" t="s">
        <v>52</v>
      </c>
      <c r="C12" t="s">
        <v>4</v>
      </c>
      <c r="D12" t="s">
        <v>19</v>
      </c>
      <c r="E12">
        <v>8</v>
      </c>
      <c r="F12">
        <v>833.61</v>
      </c>
      <c r="G12">
        <v>0.15</v>
      </c>
      <c r="H12">
        <v>5668.55</v>
      </c>
      <c r="I12" t="s">
        <v>14</v>
      </c>
      <c r="J12" t="s">
        <v>43</v>
      </c>
      <c r="K12">
        <f>E12*F12*(1-G12)</f>
        <v>5668.5479999999998</v>
      </c>
      <c r="L12">
        <f>H12-K12</f>
        <v>2.0000000004074536E-3</v>
      </c>
    </row>
    <row r="13" spans="1:12">
      <c r="A13">
        <v>12</v>
      </c>
      <c r="B13" t="s">
        <v>53</v>
      </c>
      <c r="C13" t="s">
        <v>5</v>
      </c>
      <c r="D13" t="s">
        <v>20</v>
      </c>
      <c r="E13">
        <v>1</v>
      </c>
      <c r="F13">
        <v>293.67</v>
      </c>
      <c r="G13">
        <v>0.1</v>
      </c>
      <c r="H13">
        <v>264.3</v>
      </c>
      <c r="I13" t="s">
        <v>16</v>
      </c>
      <c r="J13" t="s">
        <v>45</v>
      </c>
      <c r="K13">
        <f>E13*F13*(1-G13)</f>
        <v>264.303</v>
      </c>
      <c r="L13">
        <f>H13-K13</f>
        <v>-2.9999999999859028E-3</v>
      </c>
    </row>
    <row r="14" spans="1:12">
      <c r="A14">
        <v>13</v>
      </c>
      <c r="B14" t="s">
        <v>54</v>
      </c>
      <c r="C14" t="s">
        <v>10</v>
      </c>
      <c r="D14" t="s">
        <v>21</v>
      </c>
      <c r="E14">
        <v>4</v>
      </c>
      <c r="F14">
        <v>8.1999999999999993</v>
      </c>
      <c r="G14">
        <v>0.1</v>
      </c>
      <c r="H14">
        <v>29.52</v>
      </c>
      <c r="I14" t="s">
        <v>15</v>
      </c>
      <c r="J14" t="s">
        <v>39</v>
      </c>
      <c r="K14">
        <f>E14*F14*(1-G14)</f>
        <v>29.52</v>
      </c>
      <c r="L14">
        <f>H14-K14</f>
        <v>0</v>
      </c>
    </row>
    <row r="15" spans="1:12">
      <c r="A15">
        <v>14</v>
      </c>
      <c r="B15" t="s">
        <v>55</v>
      </c>
      <c r="C15" t="s">
        <v>4</v>
      </c>
      <c r="D15" t="s">
        <v>19</v>
      </c>
      <c r="E15">
        <v>4</v>
      </c>
      <c r="F15">
        <v>883.32</v>
      </c>
      <c r="G15">
        <v>0.15</v>
      </c>
      <c r="H15">
        <v>3003.29</v>
      </c>
      <c r="I15" t="s">
        <v>16</v>
      </c>
      <c r="J15" t="s">
        <v>48</v>
      </c>
      <c r="K15">
        <f>E15*F15*(1-G15)</f>
        <v>3003.288</v>
      </c>
      <c r="L15">
        <f>H15-K15</f>
        <v>1.9999999999527063E-3</v>
      </c>
    </row>
    <row r="16" spans="1:12">
      <c r="A16">
        <v>15</v>
      </c>
      <c r="B16" t="s">
        <v>56</v>
      </c>
      <c r="C16" t="s">
        <v>9</v>
      </c>
      <c r="D16" t="s">
        <v>21</v>
      </c>
      <c r="E16">
        <v>6</v>
      </c>
      <c r="F16">
        <v>11.46</v>
      </c>
      <c r="G16">
        <v>0</v>
      </c>
      <c r="H16">
        <v>68.760000000000005</v>
      </c>
      <c r="I16" t="s">
        <v>15</v>
      </c>
      <c r="J16" t="s">
        <v>45</v>
      </c>
      <c r="K16">
        <f>E16*F16*(1-G16)</f>
        <v>68.760000000000005</v>
      </c>
      <c r="L16">
        <f>H16-K16</f>
        <v>0</v>
      </c>
    </row>
    <row r="17" spans="1:12">
      <c r="A17">
        <v>16</v>
      </c>
      <c r="B17" t="s">
        <v>57</v>
      </c>
      <c r="C17" t="s">
        <v>7</v>
      </c>
      <c r="D17" t="s">
        <v>19</v>
      </c>
      <c r="E17">
        <v>3</v>
      </c>
      <c r="F17">
        <v>122.45</v>
      </c>
      <c r="G17">
        <v>0.1</v>
      </c>
      <c r="H17">
        <v>330.62</v>
      </c>
      <c r="I17" t="s">
        <v>13</v>
      </c>
      <c r="J17" t="s">
        <v>58</v>
      </c>
      <c r="K17">
        <f>E17*F17*(1-G17)</f>
        <v>330.61500000000001</v>
      </c>
      <c r="L17">
        <f>H17-K17</f>
        <v>4.9999999999954525E-3</v>
      </c>
    </row>
    <row r="18" spans="1:12">
      <c r="A18">
        <v>17</v>
      </c>
      <c r="B18" t="s">
        <v>46</v>
      </c>
      <c r="C18" t="s">
        <v>8</v>
      </c>
      <c r="D18" t="s">
        <v>18</v>
      </c>
      <c r="E18">
        <v>5</v>
      </c>
      <c r="F18">
        <v>69.900000000000006</v>
      </c>
      <c r="G18">
        <v>0</v>
      </c>
      <c r="H18">
        <v>349.5</v>
      </c>
      <c r="I18" t="s">
        <v>13</v>
      </c>
      <c r="J18" t="s">
        <v>48</v>
      </c>
      <c r="K18">
        <f>E18*F18*(1-G18)</f>
        <v>349.5</v>
      </c>
      <c r="L18">
        <f>H18-K18</f>
        <v>0</v>
      </c>
    </row>
    <row r="19" spans="1:12">
      <c r="A19">
        <v>18</v>
      </c>
      <c r="B19" t="s">
        <v>59</v>
      </c>
      <c r="C19" t="s">
        <v>10</v>
      </c>
      <c r="D19" t="s">
        <v>21</v>
      </c>
      <c r="E19">
        <v>2</v>
      </c>
      <c r="F19">
        <v>7.74</v>
      </c>
      <c r="G19">
        <v>0</v>
      </c>
      <c r="H19">
        <v>15.48</v>
      </c>
      <c r="I19" t="s">
        <v>15</v>
      </c>
      <c r="J19" t="s">
        <v>45</v>
      </c>
      <c r="K19">
        <f>E19*F19*(1-G19)</f>
        <v>15.48</v>
      </c>
      <c r="L19">
        <f>H19-K19</f>
        <v>0</v>
      </c>
    </row>
    <row r="20" spans="1:12">
      <c r="A20">
        <v>19</v>
      </c>
      <c r="B20" t="s">
        <v>55</v>
      </c>
      <c r="C20" t="s">
        <v>4</v>
      </c>
      <c r="D20" t="s">
        <v>19</v>
      </c>
      <c r="E20">
        <v>2</v>
      </c>
      <c r="F20">
        <v>900.39</v>
      </c>
      <c r="G20">
        <v>0.05</v>
      </c>
      <c r="H20">
        <v>1710.74</v>
      </c>
      <c r="I20" t="s">
        <v>14</v>
      </c>
      <c r="J20" t="s">
        <v>39</v>
      </c>
      <c r="K20">
        <f>E20*F20*(1-G20)</f>
        <v>1710.741</v>
      </c>
      <c r="L20">
        <f>H20-K20</f>
        <v>-9.9999999997635314E-4</v>
      </c>
    </row>
    <row r="21" spans="1:12">
      <c r="A21">
        <v>20</v>
      </c>
      <c r="B21" t="s">
        <v>60</v>
      </c>
      <c r="C21" t="s">
        <v>4</v>
      </c>
      <c r="D21" t="s">
        <v>19</v>
      </c>
      <c r="E21">
        <v>1</v>
      </c>
      <c r="F21">
        <v>863.46</v>
      </c>
      <c r="G21">
        <v>0.1</v>
      </c>
      <c r="H21">
        <v>777.11</v>
      </c>
      <c r="I21" t="s">
        <v>13</v>
      </c>
      <c r="J21" t="s">
        <v>45</v>
      </c>
      <c r="K21">
        <f>E21*F21*(1-G21)</f>
        <v>777.11400000000003</v>
      </c>
      <c r="L21">
        <f>H21-K21</f>
        <v>-4.0000000000190994E-3</v>
      </c>
    </row>
    <row r="22" spans="1:12">
      <c r="A22">
        <v>21</v>
      </c>
      <c r="B22" t="s">
        <v>61</v>
      </c>
      <c r="C22" t="s">
        <v>6</v>
      </c>
      <c r="D22" t="s">
        <v>20</v>
      </c>
      <c r="E22">
        <v>4</v>
      </c>
      <c r="F22">
        <v>325.24</v>
      </c>
      <c r="G22">
        <v>0.15</v>
      </c>
      <c r="H22">
        <v>1105.82</v>
      </c>
      <c r="I22" t="s">
        <v>13</v>
      </c>
      <c r="J22" t="s">
        <v>45</v>
      </c>
      <c r="K22">
        <f>E22*F22*(1-G22)</f>
        <v>1105.816</v>
      </c>
      <c r="L22">
        <f>H22-K22</f>
        <v>3.9999999999054126E-3</v>
      </c>
    </row>
    <row r="23" spans="1:12">
      <c r="A23">
        <v>22</v>
      </c>
      <c r="B23" t="s">
        <v>62</v>
      </c>
      <c r="C23" t="s">
        <v>7</v>
      </c>
      <c r="D23" t="s">
        <v>19</v>
      </c>
      <c r="E23">
        <v>3</v>
      </c>
      <c r="F23">
        <v>112.87</v>
      </c>
      <c r="G23">
        <v>0.1</v>
      </c>
      <c r="H23">
        <v>304.75</v>
      </c>
      <c r="I23" t="s">
        <v>14</v>
      </c>
      <c r="J23" t="s">
        <v>43</v>
      </c>
      <c r="K23">
        <f>E23*F23*(1-G23)</f>
        <v>304.74900000000002</v>
      </c>
      <c r="L23">
        <f>H23-K23</f>
        <v>9.9999999997635314E-4</v>
      </c>
    </row>
    <row r="24" spans="1:12">
      <c r="A24">
        <v>23</v>
      </c>
      <c r="B24" t="s">
        <v>63</v>
      </c>
      <c r="C24" t="s">
        <v>7</v>
      </c>
      <c r="D24" t="s">
        <v>21</v>
      </c>
      <c r="E24">
        <v>4</v>
      </c>
      <c r="F24">
        <v>12.82</v>
      </c>
      <c r="G24">
        <v>0</v>
      </c>
      <c r="H24">
        <v>51.28</v>
      </c>
      <c r="I24" t="s">
        <v>16</v>
      </c>
      <c r="J24" t="s">
        <v>58</v>
      </c>
      <c r="K24">
        <f>E24*F24*(1-G24)</f>
        <v>51.28</v>
      </c>
      <c r="L24">
        <f>H24-K24</f>
        <v>0</v>
      </c>
    </row>
    <row r="25" spans="1:12">
      <c r="A25">
        <v>24</v>
      </c>
      <c r="B25" t="s">
        <v>64</v>
      </c>
      <c r="C25" t="s">
        <v>10</v>
      </c>
      <c r="D25" t="s">
        <v>21</v>
      </c>
      <c r="E25">
        <v>8</v>
      </c>
      <c r="F25">
        <v>8.51</v>
      </c>
      <c r="G25">
        <v>0.1</v>
      </c>
      <c r="H25">
        <v>61.27</v>
      </c>
      <c r="I25" t="s">
        <v>13</v>
      </c>
      <c r="J25" t="s">
        <v>39</v>
      </c>
      <c r="K25">
        <f>E25*F25*(1-G25)</f>
        <v>61.271999999999998</v>
      </c>
      <c r="L25">
        <f>H25-K25</f>
        <v>-1.9999999999953388E-3</v>
      </c>
    </row>
    <row r="26" spans="1:12">
      <c r="A26">
        <v>25</v>
      </c>
      <c r="B26" t="s">
        <v>65</v>
      </c>
      <c r="C26" t="s">
        <v>7</v>
      </c>
      <c r="D26" t="s">
        <v>19</v>
      </c>
      <c r="E26">
        <v>6</v>
      </c>
      <c r="F26">
        <v>110.8</v>
      </c>
      <c r="G26">
        <v>0.15</v>
      </c>
      <c r="H26">
        <v>565.08000000000004</v>
      </c>
      <c r="I26" t="s">
        <v>14</v>
      </c>
      <c r="J26" t="s">
        <v>48</v>
      </c>
      <c r="K26">
        <f>E26*F26*(1-G26)</f>
        <v>565.07999999999993</v>
      </c>
      <c r="L26">
        <f>H26-K26</f>
        <v>0</v>
      </c>
    </row>
    <row r="27" spans="1:12">
      <c r="A27">
        <v>26</v>
      </c>
      <c r="B27" t="s">
        <v>66</v>
      </c>
      <c r="C27" t="s">
        <v>3</v>
      </c>
      <c r="D27" t="s">
        <v>19</v>
      </c>
      <c r="E27">
        <v>2</v>
      </c>
      <c r="F27">
        <v>1239.9100000000001</v>
      </c>
      <c r="G27">
        <v>0</v>
      </c>
      <c r="H27">
        <v>2479.8200000000002</v>
      </c>
      <c r="I27" t="s">
        <v>14</v>
      </c>
      <c r="J27" t="s">
        <v>45</v>
      </c>
      <c r="K27">
        <f>E27*F27*(1-G27)</f>
        <v>2479.8200000000002</v>
      </c>
      <c r="L27">
        <f>H27-K27</f>
        <v>0</v>
      </c>
    </row>
    <row r="28" spans="1:12">
      <c r="A28">
        <v>27</v>
      </c>
      <c r="B28" t="s">
        <v>67</v>
      </c>
      <c r="C28" t="s">
        <v>10</v>
      </c>
      <c r="D28" t="s">
        <v>21</v>
      </c>
      <c r="E28">
        <v>2</v>
      </c>
      <c r="F28">
        <v>8.02</v>
      </c>
      <c r="G28">
        <v>0.05</v>
      </c>
      <c r="H28">
        <v>15.24</v>
      </c>
      <c r="I28" t="s">
        <v>15</v>
      </c>
      <c r="J28" t="s">
        <v>39</v>
      </c>
      <c r="K28">
        <f>E28*F28*(1-G28)</f>
        <v>15.237999999999998</v>
      </c>
      <c r="L28">
        <f>H28-K28</f>
        <v>2.0000000000024443E-3</v>
      </c>
    </row>
    <row r="29" spans="1:12">
      <c r="A29">
        <v>28</v>
      </c>
      <c r="B29" t="s">
        <v>68</v>
      </c>
      <c r="C29" t="s">
        <v>4</v>
      </c>
      <c r="D29" t="s">
        <v>19</v>
      </c>
      <c r="E29">
        <v>8</v>
      </c>
      <c r="F29">
        <v>815.05</v>
      </c>
      <c r="G29">
        <v>0.1</v>
      </c>
      <c r="H29">
        <v>5868.36</v>
      </c>
      <c r="I29" t="s">
        <v>15</v>
      </c>
      <c r="J29" t="s">
        <v>39</v>
      </c>
      <c r="K29">
        <f>E29*F29*(1-G29)</f>
        <v>5868.36</v>
      </c>
      <c r="L29">
        <f>H29-K29</f>
        <v>0</v>
      </c>
    </row>
    <row r="30" spans="1:12">
      <c r="A30">
        <v>29</v>
      </c>
      <c r="B30" t="s">
        <v>69</v>
      </c>
      <c r="C30" t="s">
        <v>7</v>
      </c>
      <c r="D30" t="s">
        <v>19</v>
      </c>
      <c r="E30">
        <v>7</v>
      </c>
      <c r="F30">
        <v>117.2</v>
      </c>
      <c r="G30">
        <v>0.1</v>
      </c>
      <c r="H30">
        <v>738.36</v>
      </c>
      <c r="I30" t="s">
        <v>15</v>
      </c>
      <c r="J30" t="s">
        <v>45</v>
      </c>
      <c r="K30">
        <f>E30*F30*(1-G30)</f>
        <v>738.36</v>
      </c>
      <c r="L30">
        <f>H30-K30</f>
        <v>0</v>
      </c>
    </row>
    <row r="31" spans="1:12">
      <c r="A31">
        <v>30</v>
      </c>
      <c r="B31" t="s">
        <v>70</v>
      </c>
      <c r="C31" t="s">
        <v>7</v>
      </c>
      <c r="D31" t="s">
        <v>19</v>
      </c>
      <c r="E31">
        <v>1</v>
      </c>
      <c r="F31">
        <v>118.13</v>
      </c>
      <c r="G31">
        <v>0.05</v>
      </c>
      <c r="H31">
        <v>112.22</v>
      </c>
      <c r="I31" t="s">
        <v>13</v>
      </c>
      <c r="J31" t="s">
        <v>39</v>
      </c>
      <c r="K31">
        <f>E31*F31*(1-G31)</f>
        <v>112.22349999999999</v>
      </c>
      <c r="L31">
        <f>H31-K31</f>
        <v>-3.4999999999882903E-3</v>
      </c>
    </row>
    <row r="32" spans="1:12">
      <c r="A32">
        <v>31</v>
      </c>
      <c r="B32" t="s">
        <v>49</v>
      </c>
      <c r="C32" t="s">
        <v>5</v>
      </c>
      <c r="D32" t="s">
        <v>20</v>
      </c>
      <c r="E32">
        <v>8</v>
      </c>
      <c r="F32">
        <v>263.88</v>
      </c>
      <c r="G32">
        <v>0</v>
      </c>
      <c r="H32">
        <v>2111.04</v>
      </c>
      <c r="I32" t="s">
        <v>16</v>
      </c>
      <c r="J32" t="s">
        <v>58</v>
      </c>
      <c r="K32">
        <f>E32*F32*(1-G32)</f>
        <v>2111.04</v>
      </c>
      <c r="L32">
        <f>H32-K32</f>
        <v>0</v>
      </c>
    </row>
    <row r="33" spans="1:12">
      <c r="A33">
        <v>32</v>
      </c>
      <c r="B33" t="s">
        <v>71</v>
      </c>
      <c r="C33" t="s">
        <v>7</v>
      </c>
      <c r="D33" t="s">
        <v>19</v>
      </c>
      <c r="E33">
        <v>8</v>
      </c>
      <c r="F33">
        <v>125.91</v>
      </c>
      <c r="G33">
        <v>0.15</v>
      </c>
      <c r="H33">
        <v>856.19</v>
      </c>
      <c r="I33" t="s">
        <v>13</v>
      </c>
      <c r="J33" t="s">
        <v>45</v>
      </c>
      <c r="K33">
        <f>E33*F33*(1-G33)</f>
        <v>856.18799999999999</v>
      </c>
      <c r="L33">
        <f>H33-K33</f>
        <v>2.0000000000663931E-3</v>
      </c>
    </row>
    <row r="34" spans="1:12">
      <c r="A34">
        <v>33</v>
      </c>
      <c r="B34" t="s">
        <v>72</v>
      </c>
      <c r="C34" t="s">
        <v>3</v>
      </c>
      <c r="D34" t="s">
        <v>19</v>
      </c>
      <c r="E34">
        <v>2</v>
      </c>
      <c r="F34">
        <v>1281.8599999999999</v>
      </c>
      <c r="G34">
        <v>0</v>
      </c>
      <c r="H34">
        <v>2563.7199999999998</v>
      </c>
      <c r="I34" t="s">
        <v>14</v>
      </c>
      <c r="J34" t="s">
        <v>58</v>
      </c>
      <c r="K34">
        <f>E34*F34*(1-G34)</f>
        <v>2563.7199999999998</v>
      </c>
      <c r="L34">
        <f>H34-K34</f>
        <v>0</v>
      </c>
    </row>
    <row r="35" spans="1:12">
      <c r="A35">
        <v>34</v>
      </c>
      <c r="B35" t="s">
        <v>62</v>
      </c>
      <c r="C35" t="s">
        <v>8</v>
      </c>
      <c r="D35" t="s">
        <v>18</v>
      </c>
      <c r="E35">
        <v>4</v>
      </c>
      <c r="F35">
        <v>68.790000000000006</v>
      </c>
      <c r="G35">
        <v>0</v>
      </c>
      <c r="H35">
        <v>275.16000000000003</v>
      </c>
      <c r="I35" t="s">
        <v>14</v>
      </c>
      <c r="J35" t="s">
        <v>58</v>
      </c>
      <c r="K35">
        <f>E35*F35*(1-G35)</f>
        <v>275.16000000000003</v>
      </c>
      <c r="L35">
        <f>H35-K35</f>
        <v>0</v>
      </c>
    </row>
    <row r="36" spans="1:12">
      <c r="A36">
        <v>35</v>
      </c>
      <c r="B36" t="s">
        <v>73</v>
      </c>
      <c r="C36" t="s">
        <v>9</v>
      </c>
      <c r="D36" t="s">
        <v>21</v>
      </c>
      <c r="E36">
        <v>5</v>
      </c>
      <c r="F36">
        <v>12.82</v>
      </c>
      <c r="G36">
        <v>0.1</v>
      </c>
      <c r="H36">
        <v>57.69</v>
      </c>
      <c r="I36" t="s">
        <v>16</v>
      </c>
      <c r="J36" t="s">
        <v>58</v>
      </c>
      <c r="K36">
        <f>E36*F36*(1-G36)</f>
        <v>57.69</v>
      </c>
      <c r="L36">
        <f>H36-K36</f>
        <v>0</v>
      </c>
    </row>
    <row r="37" spans="1:12">
      <c r="A37">
        <v>36</v>
      </c>
      <c r="B37" t="s">
        <v>74</v>
      </c>
      <c r="C37" t="s">
        <v>8</v>
      </c>
      <c r="D37" t="s">
        <v>18</v>
      </c>
      <c r="E37">
        <v>3</v>
      </c>
      <c r="F37">
        <v>61.77</v>
      </c>
      <c r="G37">
        <v>0</v>
      </c>
      <c r="H37">
        <v>185.31</v>
      </c>
      <c r="I37" t="s">
        <v>13</v>
      </c>
      <c r="J37" t="s">
        <v>48</v>
      </c>
      <c r="K37">
        <f>E37*F37*(1-G37)</f>
        <v>185.31</v>
      </c>
      <c r="L37">
        <f>H37-K37</f>
        <v>0</v>
      </c>
    </row>
    <row r="38" spans="1:12">
      <c r="A38">
        <v>37</v>
      </c>
      <c r="B38" t="s">
        <v>68</v>
      </c>
      <c r="C38" t="s">
        <v>3</v>
      </c>
      <c r="D38" t="s">
        <v>19</v>
      </c>
      <c r="E38">
        <v>6</v>
      </c>
      <c r="F38">
        <v>1114.98</v>
      </c>
      <c r="G38">
        <v>0.15</v>
      </c>
      <c r="H38">
        <v>5686.4</v>
      </c>
      <c r="I38" t="s">
        <v>15</v>
      </c>
      <c r="J38" t="s">
        <v>48</v>
      </c>
      <c r="K38">
        <f>E38*F38*(1-G38)</f>
        <v>5686.3980000000001</v>
      </c>
      <c r="L38">
        <f>H38-K38</f>
        <v>1.9999999994979589E-3</v>
      </c>
    </row>
    <row r="39" spans="1:12">
      <c r="A39">
        <v>38</v>
      </c>
      <c r="B39" t="s">
        <v>63</v>
      </c>
      <c r="C39" t="s">
        <v>4</v>
      </c>
      <c r="D39" t="s">
        <v>19</v>
      </c>
      <c r="E39">
        <v>1</v>
      </c>
      <c r="F39">
        <v>912.67</v>
      </c>
      <c r="G39">
        <v>0</v>
      </c>
      <c r="H39">
        <v>912.67</v>
      </c>
      <c r="I39" t="s">
        <v>14</v>
      </c>
      <c r="J39" t="s">
        <v>45</v>
      </c>
      <c r="K39">
        <f>E39*F39*(1-G39)</f>
        <v>912.67</v>
      </c>
      <c r="L39">
        <f>H39-K39</f>
        <v>0</v>
      </c>
    </row>
    <row r="40" spans="1:12">
      <c r="A40">
        <v>39</v>
      </c>
      <c r="B40" t="s">
        <v>75</v>
      </c>
      <c r="C40" t="s">
        <v>7</v>
      </c>
      <c r="D40" t="s">
        <v>19</v>
      </c>
      <c r="E40">
        <v>4</v>
      </c>
      <c r="F40">
        <v>118.15</v>
      </c>
      <c r="G40">
        <v>0.15</v>
      </c>
      <c r="H40">
        <v>401.71</v>
      </c>
      <c r="I40" t="s">
        <v>14</v>
      </c>
      <c r="J40" t="s">
        <v>48</v>
      </c>
      <c r="K40">
        <f>E40*F40*(1-G40)</f>
        <v>401.71000000000004</v>
      </c>
      <c r="L40">
        <f>H40-K40</f>
        <v>0</v>
      </c>
    </row>
    <row r="41" spans="1:12">
      <c r="A41">
        <v>40</v>
      </c>
      <c r="B41" t="s">
        <v>75</v>
      </c>
      <c r="C41" t="s">
        <v>3</v>
      </c>
      <c r="D41" t="s">
        <v>19</v>
      </c>
      <c r="E41">
        <v>2</v>
      </c>
      <c r="F41">
        <v>1184.49</v>
      </c>
      <c r="G41">
        <v>0.15</v>
      </c>
      <c r="H41">
        <v>2013.63</v>
      </c>
      <c r="I41" t="s">
        <v>16</v>
      </c>
      <c r="J41" t="s">
        <v>43</v>
      </c>
      <c r="K41">
        <f>E41*F41*(1-G41)</f>
        <v>2013.633</v>
      </c>
      <c r="L41">
        <f>H41-K41</f>
        <v>-2.9999999999290594E-3</v>
      </c>
    </row>
    <row r="42" spans="1:12">
      <c r="A42">
        <v>41</v>
      </c>
      <c r="B42" t="s">
        <v>76</v>
      </c>
      <c r="C42" t="s">
        <v>10</v>
      </c>
      <c r="D42" t="s">
        <v>21</v>
      </c>
      <c r="E42">
        <v>4</v>
      </c>
      <c r="F42">
        <v>7.7</v>
      </c>
      <c r="G42">
        <v>0</v>
      </c>
      <c r="H42">
        <v>30.8</v>
      </c>
      <c r="I42" t="s">
        <v>16</v>
      </c>
      <c r="J42" t="s">
        <v>58</v>
      </c>
      <c r="K42">
        <f>E42*F42*(1-G42)</f>
        <v>30.8</v>
      </c>
      <c r="L42">
        <f>H42-K42</f>
        <v>0</v>
      </c>
    </row>
    <row r="43" spans="1:12">
      <c r="A43">
        <v>42</v>
      </c>
      <c r="B43" t="s">
        <v>77</v>
      </c>
      <c r="C43" t="s">
        <v>7</v>
      </c>
      <c r="D43" t="s">
        <v>19</v>
      </c>
      <c r="E43">
        <v>1</v>
      </c>
      <c r="F43">
        <v>119.2</v>
      </c>
      <c r="G43">
        <v>0.15</v>
      </c>
      <c r="H43">
        <v>101.32</v>
      </c>
      <c r="I43" t="s">
        <v>13</v>
      </c>
      <c r="J43" t="s">
        <v>45</v>
      </c>
      <c r="K43">
        <f>E43*F43*(1-G43)</f>
        <v>101.32</v>
      </c>
      <c r="L43">
        <f>H43-K43</f>
        <v>0</v>
      </c>
    </row>
    <row r="44" spans="1:12">
      <c r="A44">
        <v>43</v>
      </c>
      <c r="B44" t="s">
        <v>78</v>
      </c>
      <c r="C44" t="s">
        <v>5</v>
      </c>
      <c r="D44" t="s">
        <v>20</v>
      </c>
      <c r="E44">
        <v>5</v>
      </c>
      <c r="F44">
        <v>263.52999999999997</v>
      </c>
      <c r="G44">
        <v>0.05</v>
      </c>
      <c r="H44">
        <v>1251.77</v>
      </c>
      <c r="I44" t="s">
        <v>13</v>
      </c>
      <c r="J44" t="s">
        <v>39</v>
      </c>
      <c r="K44">
        <f>E44*F44*(1-G44)</f>
        <v>1251.7674999999997</v>
      </c>
      <c r="L44">
        <f>H44-K44</f>
        <v>2.5000000002819434E-3</v>
      </c>
    </row>
    <row r="45" spans="1:12">
      <c r="A45">
        <v>44</v>
      </c>
      <c r="B45" t="s">
        <v>79</v>
      </c>
      <c r="C45" t="s">
        <v>6</v>
      </c>
      <c r="D45" t="s">
        <v>20</v>
      </c>
      <c r="E45">
        <v>3</v>
      </c>
      <c r="F45">
        <v>346.54</v>
      </c>
      <c r="G45">
        <v>0.15</v>
      </c>
      <c r="H45">
        <v>883.68</v>
      </c>
      <c r="I45" t="s">
        <v>16</v>
      </c>
      <c r="J45" t="s">
        <v>48</v>
      </c>
      <c r="K45">
        <f>E45*F45*(1-G45)</f>
        <v>883.67700000000002</v>
      </c>
      <c r="L45">
        <f>H45-K45</f>
        <v>2.9999999999290594E-3</v>
      </c>
    </row>
    <row r="46" spans="1:12">
      <c r="A46">
        <v>45</v>
      </c>
      <c r="B46" t="s">
        <v>80</v>
      </c>
      <c r="C46" t="s">
        <v>3</v>
      </c>
      <c r="D46" t="s">
        <v>19</v>
      </c>
      <c r="E46">
        <v>5</v>
      </c>
      <c r="F46">
        <v>1282.9000000000001</v>
      </c>
      <c r="G46">
        <v>0</v>
      </c>
      <c r="H46">
        <v>6414.5</v>
      </c>
      <c r="I46" t="s">
        <v>14</v>
      </c>
      <c r="J46" t="s">
        <v>43</v>
      </c>
      <c r="K46">
        <f>E46*F46*(1-G46)</f>
        <v>6414.5</v>
      </c>
      <c r="L46">
        <f>H46-K46</f>
        <v>0</v>
      </c>
    </row>
    <row r="47" spans="1:12">
      <c r="A47">
        <v>46</v>
      </c>
      <c r="B47" t="s">
        <v>81</v>
      </c>
      <c r="C47" t="s">
        <v>7</v>
      </c>
      <c r="D47" t="s">
        <v>19</v>
      </c>
      <c r="E47">
        <v>3</v>
      </c>
      <c r="F47">
        <v>115.63</v>
      </c>
      <c r="G47">
        <v>0.15</v>
      </c>
      <c r="H47">
        <v>294.86</v>
      </c>
      <c r="I47" t="s">
        <v>14</v>
      </c>
      <c r="J47" t="s">
        <v>43</v>
      </c>
      <c r="K47">
        <f>E47*F47*(1-G47)</f>
        <v>294.85649999999998</v>
      </c>
      <c r="L47">
        <f>H47-K47</f>
        <v>3.5000000000309228E-3</v>
      </c>
    </row>
    <row r="48" spans="1:12">
      <c r="A48">
        <v>47</v>
      </c>
      <c r="B48" t="s">
        <v>76</v>
      </c>
      <c r="C48" t="s">
        <v>6</v>
      </c>
      <c r="D48" t="s">
        <v>20</v>
      </c>
      <c r="E48">
        <v>8</v>
      </c>
      <c r="F48">
        <v>336.06</v>
      </c>
      <c r="G48">
        <v>0</v>
      </c>
      <c r="H48">
        <v>2688.48</v>
      </c>
      <c r="I48" t="s">
        <v>13</v>
      </c>
      <c r="J48" t="s">
        <v>58</v>
      </c>
      <c r="K48">
        <f>E48*F48*(1-G48)</f>
        <v>2688.48</v>
      </c>
      <c r="L48">
        <f>H48-K48</f>
        <v>0</v>
      </c>
    </row>
    <row r="49" spans="1:12">
      <c r="A49">
        <v>48</v>
      </c>
      <c r="B49" t="s">
        <v>82</v>
      </c>
      <c r="C49" t="s">
        <v>3</v>
      </c>
      <c r="D49" t="s">
        <v>19</v>
      </c>
      <c r="E49">
        <v>1</v>
      </c>
      <c r="F49">
        <v>1168.04</v>
      </c>
      <c r="G49">
        <v>0</v>
      </c>
      <c r="H49">
        <v>1168.04</v>
      </c>
      <c r="I49" t="s">
        <v>16</v>
      </c>
      <c r="J49" t="s">
        <v>39</v>
      </c>
      <c r="K49">
        <f>E49*F49*(1-G49)</f>
        <v>1168.04</v>
      </c>
      <c r="L49">
        <f>H49-K49</f>
        <v>0</v>
      </c>
    </row>
    <row r="50" spans="1:12">
      <c r="A50">
        <v>49</v>
      </c>
      <c r="B50" t="s">
        <v>83</v>
      </c>
      <c r="C50" t="s">
        <v>9</v>
      </c>
      <c r="D50" t="s">
        <v>21</v>
      </c>
      <c r="E50">
        <v>1</v>
      </c>
      <c r="F50">
        <v>11.25</v>
      </c>
      <c r="G50">
        <v>0</v>
      </c>
      <c r="H50">
        <v>11.25</v>
      </c>
      <c r="I50" t="s">
        <v>13</v>
      </c>
      <c r="J50" t="s">
        <v>43</v>
      </c>
      <c r="K50">
        <f>E50*F50*(1-G50)</f>
        <v>11.25</v>
      </c>
      <c r="L50">
        <f>H50-K50</f>
        <v>0</v>
      </c>
    </row>
    <row r="51" spans="1:12">
      <c r="A51">
        <v>50</v>
      </c>
      <c r="B51" t="s">
        <v>84</v>
      </c>
      <c r="C51" t="s">
        <v>4</v>
      </c>
      <c r="D51" t="s">
        <v>19</v>
      </c>
      <c r="E51">
        <v>7</v>
      </c>
      <c r="F51">
        <v>799.33</v>
      </c>
      <c r="G51">
        <v>0.05</v>
      </c>
      <c r="H51">
        <v>5315.54</v>
      </c>
      <c r="I51" t="s">
        <v>16</v>
      </c>
      <c r="J51" t="s">
        <v>45</v>
      </c>
      <c r="K51">
        <f>E51*F51*(1-G51)</f>
        <v>5315.5445</v>
      </c>
      <c r="L51">
        <f>H51-K51</f>
        <v>-4.500000000007276E-3</v>
      </c>
    </row>
    <row r="52" spans="1:12">
      <c r="A52">
        <v>51</v>
      </c>
      <c r="B52" t="s">
        <v>85</v>
      </c>
      <c r="C52" t="s">
        <v>5</v>
      </c>
      <c r="D52" t="s">
        <v>20</v>
      </c>
      <c r="E52">
        <v>4</v>
      </c>
      <c r="F52">
        <v>287.48</v>
      </c>
      <c r="G52">
        <v>0.05</v>
      </c>
      <c r="H52">
        <v>1092.42</v>
      </c>
      <c r="I52" t="s">
        <v>15</v>
      </c>
      <c r="J52" t="s">
        <v>48</v>
      </c>
      <c r="K52">
        <f>E52*F52*(1-G52)</f>
        <v>1092.424</v>
      </c>
      <c r="L52">
        <f>H52-K52</f>
        <v>-3.9999999999054126E-3</v>
      </c>
    </row>
    <row r="53" spans="1:12">
      <c r="A53">
        <v>52</v>
      </c>
      <c r="B53" t="s">
        <v>86</v>
      </c>
      <c r="C53" t="s">
        <v>5</v>
      </c>
      <c r="D53" t="s">
        <v>20</v>
      </c>
      <c r="E53">
        <v>3</v>
      </c>
      <c r="F53">
        <v>301.33</v>
      </c>
      <c r="G53">
        <v>0</v>
      </c>
      <c r="H53">
        <v>903.99</v>
      </c>
      <c r="I53" t="s">
        <v>15</v>
      </c>
      <c r="J53" t="s">
        <v>45</v>
      </c>
      <c r="K53">
        <f>E53*F53*(1-G53)</f>
        <v>903.99</v>
      </c>
      <c r="L53">
        <f>H53-K53</f>
        <v>0</v>
      </c>
    </row>
    <row r="54" spans="1:12">
      <c r="A54">
        <v>53</v>
      </c>
      <c r="B54" t="s">
        <v>87</v>
      </c>
      <c r="C54" t="s">
        <v>10</v>
      </c>
      <c r="D54" t="s">
        <v>21</v>
      </c>
      <c r="E54">
        <v>7</v>
      </c>
      <c r="F54">
        <v>8.39</v>
      </c>
      <c r="G54">
        <v>0</v>
      </c>
      <c r="H54">
        <v>58.73</v>
      </c>
      <c r="I54" t="s">
        <v>16</v>
      </c>
      <c r="J54" t="s">
        <v>39</v>
      </c>
      <c r="K54">
        <f>E54*F54*(1-G54)</f>
        <v>58.730000000000004</v>
      </c>
      <c r="L54">
        <f>H54-K54</f>
        <v>0</v>
      </c>
    </row>
    <row r="55" spans="1:12">
      <c r="A55">
        <v>54</v>
      </c>
      <c r="B55" t="s">
        <v>88</v>
      </c>
      <c r="C55" t="s">
        <v>7</v>
      </c>
      <c r="D55" t="s">
        <v>19</v>
      </c>
      <c r="E55">
        <v>7</v>
      </c>
      <c r="F55">
        <v>127.15</v>
      </c>
      <c r="G55">
        <v>0.1</v>
      </c>
      <c r="H55">
        <v>801.05</v>
      </c>
      <c r="I55" t="s">
        <v>14</v>
      </c>
      <c r="J55" t="s">
        <v>39</v>
      </c>
      <c r="K55">
        <f>E55*F55*(1-G55)</f>
        <v>801.04500000000007</v>
      </c>
      <c r="L55">
        <f>H55-K55</f>
        <v>4.9999999998817657E-3</v>
      </c>
    </row>
    <row r="56" spans="1:12">
      <c r="A56">
        <v>55</v>
      </c>
      <c r="B56" t="s">
        <v>47</v>
      </c>
      <c r="C56" t="s">
        <v>10</v>
      </c>
      <c r="D56" t="s">
        <v>21</v>
      </c>
      <c r="E56">
        <v>5</v>
      </c>
      <c r="F56">
        <v>8.41</v>
      </c>
      <c r="G56">
        <v>0</v>
      </c>
      <c r="H56">
        <v>42.05</v>
      </c>
      <c r="I56" t="s">
        <v>14</v>
      </c>
      <c r="J56" t="s">
        <v>45</v>
      </c>
      <c r="K56">
        <f>E56*F56*(1-G56)</f>
        <v>42.05</v>
      </c>
      <c r="L56">
        <f>H56-K56</f>
        <v>0</v>
      </c>
    </row>
    <row r="57" spans="1:12">
      <c r="A57">
        <v>56</v>
      </c>
      <c r="B57" t="s">
        <v>89</v>
      </c>
      <c r="C57" t="s">
        <v>5</v>
      </c>
      <c r="D57" t="s">
        <v>20</v>
      </c>
      <c r="E57">
        <v>7</v>
      </c>
      <c r="F57">
        <v>272.31</v>
      </c>
      <c r="G57">
        <v>0</v>
      </c>
      <c r="H57">
        <v>1906.17</v>
      </c>
      <c r="I57" t="s">
        <v>16</v>
      </c>
      <c r="J57" t="s">
        <v>43</v>
      </c>
      <c r="K57">
        <f>E57*F57*(1-G57)</f>
        <v>1906.17</v>
      </c>
      <c r="L57">
        <f>H57-K57</f>
        <v>0</v>
      </c>
    </row>
    <row r="58" spans="1:12">
      <c r="A58">
        <v>57</v>
      </c>
      <c r="B58" t="s">
        <v>90</v>
      </c>
      <c r="C58" t="s">
        <v>9</v>
      </c>
      <c r="D58" t="s">
        <v>21</v>
      </c>
      <c r="E58">
        <v>6</v>
      </c>
      <c r="F58">
        <v>12.84</v>
      </c>
      <c r="G58">
        <v>0</v>
      </c>
      <c r="H58">
        <v>77.040000000000006</v>
      </c>
      <c r="I58" t="s">
        <v>16</v>
      </c>
      <c r="J58" t="s">
        <v>39</v>
      </c>
      <c r="K58">
        <f>E58*F58*(1-G58)</f>
        <v>77.039999999999992</v>
      </c>
      <c r="L58">
        <f>H58-K58</f>
        <v>0</v>
      </c>
    </row>
    <row r="59" spans="1:12">
      <c r="A59">
        <v>58</v>
      </c>
      <c r="B59" t="s">
        <v>91</v>
      </c>
      <c r="C59" t="s">
        <v>6</v>
      </c>
      <c r="D59" t="s">
        <v>20</v>
      </c>
      <c r="E59">
        <v>1</v>
      </c>
      <c r="F59">
        <v>328.07</v>
      </c>
      <c r="G59">
        <v>0.1</v>
      </c>
      <c r="H59">
        <v>295.26</v>
      </c>
      <c r="I59" t="s">
        <v>16</v>
      </c>
      <c r="J59" t="s">
        <v>43</v>
      </c>
      <c r="K59">
        <f>E59*F59*(1-G59)</f>
        <v>295.26299999999998</v>
      </c>
      <c r="L59">
        <f>H59-K59</f>
        <v>-2.9999999999859028E-3</v>
      </c>
    </row>
    <row r="60" spans="1:12">
      <c r="A60">
        <v>59</v>
      </c>
      <c r="B60" t="s">
        <v>92</v>
      </c>
      <c r="C60" t="s">
        <v>7</v>
      </c>
      <c r="D60" t="s">
        <v>19</v>
      </c>
      <c r="E60">
        <v>7</v>
      </c>
      <c r="F60">
        <v>127.67</v>
      </c>
      <c r="G60">
        <v>0</v>
      </c>
      <c r="H60">
        <v>893.69</v>
      </c>
      <c r="I60" t="s">
        <v>16</v>
      </c>
      <c r="J60" t="s">
        <v>45</v>
      </c>
      <c r="K60">
        <f>E60*F60*(1-G60)</f>
        <v>893.69</v>
      </c>
      <c r="L60">
        <f>H60-K60</f>
        <v>0</v>
      </c>
    </row>
    <row r="61" spans="1:12">
      <c r="A61">
        <v>60</v>
      </c>
      <c r="B61" t="s">
        <v>93</v>
      </c>
      <c r="C61" t="s">
        <v>9</v>
      </c>
      <c r="D61" t="s">
        <v>21</v>
      </c>
      <c r="E61">
        <v>1</v>
      </c>
      <c r="F61">
        <v>12.04</v>
      </c>
      <c r="G61">
        <v>0.15</v>
      </c>
      <c r="H61">
        <v>10.23</v>
      </c>
      <c r="I61" t="s">
        <v>14</v>
      </c>
      <c r="J61" t="s">
        <v>43</v>
      </c>
      <c r="K61">
        <f>E61*F61*(1-G61)</f>
        <v>10.233999999999998</v>
      </c>
      <c r="L61">
        <f>H61-K61</f>
        <v>-3.9999999999977831E-3</v>
      </c>
    </row>
    <row r="62" spans="1:12">
      <c r="A62">
        <v>61</v>
      </c>
      <c r="B62" t="s">
        <v>94</v>
      </c>
      <c r="C62" t="s">
        <v>7</v>
      </c>
      <c r="D62" t="s">
        <v>19</v>
      </c>
      <c r="E62">
        <v>6</v>
      </c>
      <c r="F62">
        <v>122.36</v>
      </c>
      <c r="G62">
        <v>0</v>
      </c>
      <c r="H62">
        <v>734.16</v>
      </c>
      <c r="I62" t="s">
        <v>16</v>
      </c>
      <c r="J62" t="s">
        <v>48</v>
      </c>
      <c r="K62">
        <f>E62*F62*(1-G62)</f>
        <v>734.16</v>
      </c>
      <c r="L62">
        <f>H62-K62</f>
        <v>0</v>
      </c>
    </row>
    <row r="63" spans="1:12">
      <c r="A63">
        <v>62</v>
      </c>
      <c r="B63" t="s">
        <v>95</v>
      </c>
      <c r="C63" t="s">
        <v>9</v>
      </c>
      <c r="D63" t="s">
        <v>21</v>
      </c>
      <c r="E63">
        <v>6</v>
      </c>
      <c r="F63">
        <v>11.81</v>
      </c>
      <c r="G63">
        <v>0.05</v>
      </c>
      <c r="H63">
        <v>67.319999999999993</v>
      </c>
      <c r="I63" t="s">
        <v>14</v>
      </c>
      <c r="J63" t="s">
        <v>96</v>
      </c>
      <c r="K63">
        <f>E63*F63*(1-G63)</f>
        <v>67.316999999999993</v>
      </c>
      <c r="L63">
        <f>H63-K63</f>
        <v>3.0000000000001137E-3</v>
      </c>
    </row>
    <row r="64" spans="1:12">
      <c r="A64">
        <v>63</v>
      </c>
      <c r="B64" t="s">
        <v>97</v>
      </c>
      <c r="C64" t="s">
        <v>9</v>
      </c>
      <c r="D64" t="s">
        <v>21</v>
      </c>
      <c r="E64">
        <v>3</v>
      </c>
      <c r="F64">
        <v>12.22</v>
      </c>
      <c r="G64">
        <v>0.05</v>
      </c>
      <c r="H64">
        <v>34.83</v>
      </c>
      <c r="I64" t="s">
        <v>15</v>
      </c>
      <c r="J64" t="s">
        <v>48</v>
      </c>
      <c r="K64">
        <f>E64*F64*(1-G64)</f>
        <v>34.827000000000005</v>
      </c>
      <c r="L64">
        <f>H64-K64</f>
        <v>2.9999999999930083E-3</v>
      </c>
    </row>
    <row r="65" spans="1:12">
      <c r="A65">
        <v>64</v>
      </c>
      <c r="B65" t="s">
        <v>73</v>
      </c>
      <c r="C65" t="s">
        <v>6</v>
      </c>
      <c r="D65" t="s">
        <v>20</v>
      </c>
      <c r="E65">
        <v>5</v>
      </c>
      <c r="F65">
        <v>333.77</v>
      </c>
      <c r="G65">
        <v>0.15</v>
      </c>
      <c r="H65">
        <v>1418.52</v>
      </c>
      <c r="I65" t="s">
        <v>16</v>
      </c>
      <c r="J65" t="s">
        <v>58</v>
      </c>
      <c r="K65">
        <f>E65*F65*(1-G65)</f>
        <v>1418.5224999999998</v>
      </c>
      <c r="L65">
        <f>H65-K65</f>
        <v>-2.499999999827196E-3</v>
      </c>
    </row>
    <row r="66" spans="1:12">
      <c r="A66">
        <v>65</v>
      </c>
      <c r="B66" t="s">
        <v>83</v>
      </c>
      <c r="C66" t="s">
        <v>8</v>
      </c>
      <c r="D66" t="s">
        <v>18</v>
      </c>
      <c r="E66">
        <v>4</v>
      </c>
      <c r="F66">
        <v>65.12</v>
      </c>
      <c r="G66">
        <v>0</v>
      </c>
      <c r="H66">
        <v>260.48</v>
      </c>
      <c r="I66" t="s">
        <v>13</v>
      </c>
      <c r="J66" t="s">
        <v>43</v>
      </c>
      <c r="K66">
        <f>E66*F66*(1-G66)</f>
        <v>260.48</v>
      </c>
      <c r="L66">
        <f>H66-K66</f>
        <v>0</v>
      </c>
    </row>
    <row r="67" spans="1:12">
      <c r="A67">
        <v>66</v>
      </c>
      <c r="B67" t="s">
        <v>98</v>
      </c>
      <c r="C67" t="s">
        <v>10</v>
      </c>
      <c r="D67" t="s">
        <v>21</v>
      </c>
      <c r="E67">
        <v>2</v>
      </c>
      <c r="F67">
        <v>8.41</v>
      </c>
      <c r="G67">
        <v>0</v>
      </c>
      <c r="H67">
        <v>16.82</v>
      </c>
      <c r="I67" t="s">
        <v>16</v>
      </c>
      <c r="J67" t="s">
        <v>39</v>
      </c>
      <c r="K67">
        <f>E67*F67*(1-G67)</f>
        <v>16.82</v>
      </c>
      <c r="L67">
        <f>H67-K67</f>
        <v>0</v>
      </c>
    </row>
    <row r="68" spans="1:12">
      <c r="A68">
        <v>67</v>
      </c>
      <c r="B68" t="s">
        <v>99</v>
      </c>
      <c r="C68" t="s">
        <v>4</v>
      </c>
      <c r="D68" t="s">
        <v>19</v>
      </c>
      <c r="E68">
        <v>1</v>
      </c>
      <c r="F68">
        <v>788.29</v>
      </c>
      <c r="G68">
        <v>0.1</v>
      </c>
      <c r="H68">
        <v>709.46</v>
      </c>
      <c r="I68" t="s">
        <v>13</v>
      </c>
      <c r="J68" t="s">
        <v>58</v>
      </c>
      <c r="K68">
        <f>E68*F68*(1-G68)</f>
        <v>709.46100000000001</v>
      </c>
      <c r="L68">
        <f>H68-K68</f>
        <v>-9.9999999997635314E-4</v>
      </c>
    </row>
    <row r="69" spans="1:12">
      <c r="A69">
        <v>68</v>
      </c>
      <c r="B69" t="s">
        <v>100</v>
      </c>
      <c r="C69" t="s">
        <v>5</v>
      </c>
      <c r="D69" t="s">
        <v>20</v>
      </c>
      <c r="E69">
        <v>7</v>
      </c>
      <c r="F69">
        <v>279.75</v>
      </c>
      <c r="G69">
        <v>0</v>
      </c>
      <c r="H69">
        <v>1958.25</v>
      </c>
      <c r="I69" t="s">
        <v>14</v>
      </c>
      <c r="J69" t="s">
        <v>45</v>
      </c>
      <c r="K69">
        <f>E69*F69*(1-G69)</f>
        <v>1958.25</v>
      </c>
      <c r="L69">
        <f>H69-K69</f>
        <v>0</v>
      </c>
    </row>
    <row r="70" spans="1:12">
      <c r="A70">
        <v>69</v>
      </c>
      <c r="B70" t="s">
        <v>101</v>
      </c>
      <c r="C70" t="s">
        <v>9</v>
      </c>
      <c r="D70" t="s">
        <v>21</v>
      </c>
      <c r="E70">
        <v>4</v>
      </c>
      <c r="F70">
        <v>11.38</v>
      </c>
      <c r="G70">
        <v>0.15</v>
      </c>
      <c r="H70">
        <v>38.69</v>
      </c>
      <c r="I70" t="s">
        <v>15</v>
      </c>
      <c r="J70" t="s">
        <v>45</v>
      </c>
      <c r="K70">
        <f>E70*F70*(1-G70)</f>
        <v>38.692</v>
      </c>
      <c r="L70">
        <f>H70-K70</f>
        <v>-2.0000000000024443E-3</v>
      </c>
    </row>
    <row r="71" spans="1:12">
      <c r="A71">
        <v>70</v>
      </c>
      <c r="B71" t="s">
        <v>102</v>
      </c>
      <c r="C71" t="s">
        <v>5</v>
      </c>
      <c r="D71" t="s">
        <v>20</v>
      </c>
      <c r="E71">
        <v>2</v>
      </c>
      <c r="F71">
        <v>278.05</v>
      </c>
      <c r="G71">
        <v>0.1</v>
      </c>
      <c r="H71">
        <v>500.49</v>
      </c>
      <c r="I71" t="s">
        <v>16</v>
      </c>
      <c r="J71" t="s">
        <v>58</v>
      </c>
      <c r="K71">
        <f>E71*F71*(1-G71)</f>
        <v>500.49</v>
      </c>
      <c r="L71">
        <f>H71-K71</f>
        <v>0</v>
      </c>
    </row>
    <row r="72" spans="1:12">
      <c r="A72">
        <v>71</v>
      </c>
      <c r="B72" t="s">
        <v>103</v>
      </c>
      <c r="C72" t="s">
        <v>9</v>
      </c>
      <c r="D72" t="s">
        <v>21</v>
      </c>
      <c r="E72">
        <v>8</v>
      </c>
      <c r="F72">
        <v>12.76</v>
      </c>
      <c r="G72">
        <v>0.1</v>
      </c>
      <c r="H72">
        <v>91.87</v>
      </c>
      <c r="I72" t="s">
        <v>15</v>
      </c>
      <c r="J72" t="s">
        <v>43</v>
      </c>
      <c r="K72">
        <f>E72*F72*(1-G72)</f>
        <v>91.872</v>
      </c>
      <c r="L72">
        <f>H72-K72</f>
        <v>-1.9999999999953388E-3</v>
      </c>
    </row>
    <row r="73" spans="1:12">
      <c r="A73">
        <v>72</v>
      </c>
      <c r="B73" t="s">
        <v>71</v>
      </c>
      <c r="C73" t="s">
        <v>6</v>
      </c>
      <c r="D73" t="s">
        <v>20</v>
      </c>
      <c r="E73">
        <v>8</v>
      </c>
      <c r="F73">
        <v>357.1</v>
      </c>
      <c r="G73">
        <v>0.05</v>
      </c>
      <c r="H73">
        <v>2713.96</v>
      </c>
      <c r="I73" t="s">
        <v>15</v>
      </c>
      <c r="J73" t="s">
        <v>45</v>
      </c>
      <c r="K73">
        <f>E73*F73*(1-G73)</f>
        <v>2713.96</v>
      </c>
      <c r="L73">
        <f>H73-K73</f>
        <v>0</v>
      </c>
    </row>
    <row r="74" spans="1:12">
      <c r="A74">
        <v>73</v>
      </c>
      <c r="B74" t="s">
        <v>104</v>
      </c>
      <c r="C74" t="s">
        <v>5</v>
      </c>
      <c r="D74" t="s">
        <v>20</v>
      </c>
      <c r="E74">
        <v>5</v>
      </c>
      <c r="F74">
        <v>272.64999999999998</v>
      </c>
      <c r="G74">
        <v>0.15</v>
      </c>
      <c r="H74">
        <v>1158.76</v>
      </c>
      <c r="I74" t="s">
        <v>13</v>
      </c>
      <c r="J74" t="s">
        <v>39</v>
      </c>
      <c r="K74">
        <f>E74*F74*(1-G74)</f>
        <v>1158.7625</v>
      </c>
      <c r="L74">
        <f>H74-K74</f>
        <v>-2.5000000000545697E-3</v>
      </c>
    </row>
    <row r="75" spans="1:12">
      <c r="A75">
        <v>74</v>
      </c>
      <c r="B75" t="s">
        <v>105</v>
      </c>
      <c r="C75" t="s">
        <v>5</v>
      </c>
      <c r="D75" t="s">
        <v>20</v>
      </c>
      <c r="E75">
        <v>7</v>
      </c>
      <c r="F75">
        <v>288.69</v>
      </c>
      <c r="G75">
        <v>0</v>
      </c>
      <c r="H75">
        <v>2020.83</v>
      </c>
      <c r="I75" t="s">
        <v>13</v>
      </c>
      <c r="J75" t="s">
        <v>58</v>
      </c>
      <c r="K75">
        <f>E75*F75*(1-G75)</f>
        <v>2020.83</v>
      </c>
      <c r="L75">
        <f>H75-K75</f>
        <v>0</v>
      </c>
    </row>
    <row r="76" spans="1:12">
      <c r="A76">
        <v>75</v>
      </c>
      <c r="B76" t="s">
        <v>106</v>
      </c>
      <c r="C76" t="s">
        <v>10</v>
      </c>
      <c r="D76" t="s">
        <v>21</v>
      </c>
      <c r="E76">
        <v>8</v>
      </c>
      <c r="F76">
        <v>7.89</v>
      </c>
      <c r="G76">
        <v>0</v>
      </c>
      <c r="H76">
        <v>63.12</v>
      </c>
      <c r="I76" t="s">
        <v>15</v>
      </c>
      <c r="J76" t="s">
        <v>58</v>
      </c>
      <c r="K76">
        <f>E76*F76*(1-G76)</f>
        <v>63.12</v>
      </c>
      <c r="L76">
        <f>H76-K76</f>
        <v>0</v>
      </c>
    </row>
    <row r="77" spans="1:12">
      <c r="A77">
        <v>76</v>
      </c>
      <c r="B77" t="s">
        <v>84</v>
      </c>
      <c r="C77" t="s">
        <v>3</v>
      </c>
      <c r="D77" t="s">
        <v>19</v>
      </c>
      <c r="E77">
        <v>7</v>
      </c>
      <c r="F77">
        <v>1195.58</v>
      </c>
      <c r="G77">
        <v>0.05</v>
      </c>
      <c r="H77">
        <v>7950.61</v>
      </c>
      <c r="I77" t="s">
        <v>16</v>
      </c>
      <c r="J77" t="s">
        <v>58</v>
      </c>
      <c r="K77">
        <f>E77*F77*(1-G77)</f>
        <v>7950.6069999999991</v>
      </c>
      <c r="L77">
        <f>H77-K77</f>
        <v>3.0000000006111804E-3</v>
      </c>
    </row>
    <row r="78" spans="1:12">
      <c r="A78">
        <v>77</v>
      </c>
      <c r="B78" t="s">
        <v>97</v>
      </c>
      <c r="C78" t="s">
        <v>5</v>
      </c>
      <c r="D78" t="s">
        <v>20</v>
      </c>
      <c r="E78">
        <v>8</v>
      </c>
      <c r="F78">
        <v>267.43</v>
      </c>
      <c r="G78">
        <v>0.1</v>
      </c>
      <c r="H78">
        <v>1925.5</v>
      </c>
      <c r="I78" t="s">
        <v>15</v>
      </c>
      <c r="J78" t="s">
        <v>45</v>
      </c>
      <c r="K78">
        <f>E78*F78*(1-G78)</f>
        <v>1925.4960000000001</v>
      </c>
      <c r="L78">
        <f>H78-K78</f>
        <v>3.9999999999054126E-3</v>
      </c>
    </row>
    <row r="79" spans="1:12">
      <c r="A79">
        <v>78</v>
      </c>
      <c r="B79" t="s">
        <v>107</v>
      </c>
      <c r="C79" t="s">
        <v>10</v>
      </c>
      <c r="D79" t="s">
        <v>21</v>
      </c>
      <c r="E79">
        <v>7</v>
      </c>
      <c r="F79">
        <v>8.2899999999999991</v>
      </c>
      <c r="G79">
        <v>0.1</v>
      </c>
      <c r="H79">
        <v>52.23</v>
      </c>
      <c r="I79" t="s">
        <v>14</v>
      </c>
      <c r="J79" t="s">
        <v>48</v>
      </c>
      <c r="K79">
        <f>E79*F79*(1-G79)</f>
        <v>52.226999999999997</v>
      </c>
      <c r="L79">
        <f>H79-K79</f>
        <v>3.0000000000001137E-3</v>
      </c>
    </row>
    <row r="80" spans="1:12">
      <c r="A80">
        <v>79</v>
      </c>
      <c r="B80" t="s">
        <v>108</v>
      </c>
      <c r="C80" t="s">
        <v>3</v>
      </c>
      <c r="D80" t="s">
        <v>19</v>
      </c>
      <c r="E80">
        <v>7</v>
      </c>
      <c r="F80">
        <v>1217.6400000000001</v>
      </c>
      <c r="G80">
        <v>0</v>
      </c>
      <c r="H80">
        <v>8523.48</v>
      </c>
      <c r="I80" t="s">
        <v>13</v>
      </c>
      <c r="J80" t="s">
        <v>58</v>
      </c>
      <c r="K80">
        <f>E80*F80*(1-G80)</f>
        <v>8523.4800000000014</v>
      </c>
      <c r="L80">
        <f>H80-K80</f>
        <v>0</v>
      </c>
    </row>
    <row r="81" spans="1:12">
      <c r="A81">
        <v>80</v>
      </c>
      <c r="B81" t="s">
        <v>109</v>
      </c>
      <c r="C81" t="s">
        <v>8</v>
      </c>
      <c r="D81" t="s">
        <v>18</v>
      </c>
      <c r="E81">
        <v>3</v>
      </c>
      <c r="F81">
        <v>60.32</v>
      </c>
      <c r="G81">
        <v>0.1</v>
      </c>
      <c r="H81">
        <v>162.86000000000001</v>
      </c>
      <c r="I81" t="s">
        <v>16</v>
      </c>
      <c r="J81" t="s">
        <v>39</v>
      </c>
      <c r="K81">
        <f>E81*F81*(1-G81)</f>
        <v>162.864</v>
      </c>
      <c r="L81">
        <f>H81-K81</f>
        <v>-3.9999999999906777E-3</v>
      </c>
    </row>
    <row r="82" spans="1:12">
      <c r="A82">
        <v>81</v>
      </c>
      <c r="B82" t="s">
        <v>110</v>
      </c>
      <c r="C82" t="s">
        <v>10</v>
      </c>
      <c r="D82" t="s">
        <v>21</v>
      </c>
      <c r="E82">
        <v>6</v>
      </c>
      <c r="F82">
        <v>8.33</v>
      </c>
      <c r="G82">
        <v>0.1</v>
      </c>
      <c r="H82">
        <v>44.98</v>
      </c>
      <c r="I82" t="s">
        <v>16</v>
      </c>
      <c r="J82" t="s">
        <v>58</v>
      </c>
      <c r="K82">
        <f>E82*F82*(1-G82)</f>
        <v>44.982000000000006</v>
      </c>
      <c r="L82">
        <f>H82-K82</f>
        <v>-2.0000000000095497E-3</v>
      </c>
    </row>
    <row r="83" spans="1:12">
      <c r="A83">
        <v>82</v>
      </c>
      <c r="B83" t="s">
        <v>111</v>
      </c>
      <c r="C83" t="s">
        <v>7</v>
      </c>
      <c r="D83" t="s">
        <v>19</v>
      </c>
      <c r="E83">
        <v>8</v>
      </c>
      <c r="F83">
        <v>110.77</v>
      </c>
      <c r="G83">
        <v>0.15</v>
      </c>
      <c r="H83">
        <v>753.24</v>
      </c>
      <c r="I83" t="s">
        <v>13</v>
      </c>
      <c r="J83" t="s">
        <v>43</v>
      </c>
      <c r="K83">
        <f>E83*F83*(1-G83)</f>
        <v>753.23599999999999</v>
      </c>
      <c r="L83">
        <f>H83-K83</f>
        <v>4.0000000000190994E-3</v>
      </c>
    </row>
    <row r="84" spans="1:12">
      <c r="A84">
        <v>83</v>
      </c>
      <c r="B84" t="s">
        <v>65</v>
      </c>
      <c r="C84" t="s">
        <v>7</v>
      </c>
      <c r="D84" t="s">
        <v>19</v>
      </c>
      <c r="E84">
        <v>1</v>
      </c>
      <c r="F84">
        <v>124.88</v>
      </c>
      <c r="G84">
        <v>0</v>
      </c>
      <c r="H84">
        <v>124.88</v>
      </c>
      <c r="I84" t="s">
        <v>14</v>
      </c>
      <c r="J84" t="s">
        <v>45</v>
      </c>
      <c r="K84">
        <f>E84*F84*(1-G84)</f>
        <v>124.88</v>
      </c>
      <c r="L84">
        <f>H84-K84</f>
        <v>0</v>
      </c>
    </row>
    <row r="85" spans="1:12">
      <c r="A85">
        <v>84</v>
      </c>
      <c r="B85" t="s">
        <v>112</v>
      </c>
      <c r="C85" t="s">
        <v>4</v>
      </c>
      <c r="D85" t="s">
        <v>19</v>
      </c>
      <c r="E85">
        <v>4</v>
      </c>
      <c r="F85">
        <v>799.17</v>
      </c>
      <c r="G85">
        <v>0</v>
      </c>
      <c r="H85">
        <v>3196.68</v>
      </c>
      <c r="I85" t="s">
        <v>14</v>
      </c>
      <c r="J85" t="s">
        <v>58</v>
      </c>
      <c r="K85">
        <f>E85*F85*(1-G85)</f>
        <v>3196.68</v>
      </c>
      <c r="L85">
        <f>H85-K85</f>
        <v>0</v>
      </c>
    </row>
    <row r="86" spans="1:12">
      <c r="A86">
        <v>85</v>
      </c>
      <c r="B86" t="s">
        <v>88</v>
      </c>
      <c r="C86" t="s">
        <v>6</v>
      </c>
      <c r="D86" t="s">
        <v>20</v>
      </c>
      <c r="E86">
        <v>6</v>
      </c>
      <c r="F86">
        <v>331.4</v>
      </c>
      <c r="G86">
        <v>0.15</v>
      </c>
      <c r="H86">
        <v>1690.14</v>
      </c>
      <c r="I86" t="s">
        <v>13</v>
      </c>
      <c r="J86" t="s">
        <v>39</v>
      </c>
      <c r="K86">
        <f>E86*F86*(1-G86)</f>
        <v>1690.1399999999999</v>
      </c>
      <c r="L86">
        <f>H86-K86</f>
        <v>0</v>
      </c>
    </row>
    <row r="87" spans="1:12">
      <c r="A87">
        <v>86</v>
      </c>
      <c r="B87" t="s">
        <v>95</v>
      </c>
      <c r="C87" t="s">
        <v>7</v>
      </c>
      <c r="D87" t="s">
        <v>19</v>
      </c>
      <c r="E87">
        <v>1</v>
      </c>
      <c r="F87">
        <v>128.22999999999999</v>
      </c>
      <c r="G87">
        <v>0.15</v>
      </c>
      <c r="H87">
        <v>109</v>
      </c>
      <c r="I87" t="s">
        <v>15</v>
      </c>
      <c r="J87" t="s">
        <v>58</v>
      </c>
      <c r="K87">
        <f>E87*F87*(1-G87)</f>
        <v>108.99549999999999</v>
      </c>
      <c r="L87">
        <f>H87-K87</f>
        <v>4.500000000007276E-3</v>
      </c>
    </row>
    <row r="88" spans="1:12">
      <c r="A88">
        <v>87</v>
      </c>
      <c r="B88" t="s">
        <v>99</v>
      </c>
      <c r="C88" t="s">
        <v>7</v>
      </c>
      <c r="D88" t="s">
        <v>19</v>
      </c>
      <c r="E88">
        <v>4</v>
      </c>
      <c r="F88">
        <v>112.36</v>
      </c>
      <c r="G88">
        <v>0.05</v>
      </c>
      <c r="H88">
        <v>426.97</v>
      </c>
      <c r="I88" t="s">
        <v>13</v>
      </c>
      <c r="J88" t="s">
        <v>48</v>
      </c>
      <c r="K88">
        <f>E88*F88*(1-G88)</f>
        <v>426.96799999999996</v>
      </c>
      <c r="L88">
        <f>H88-K88</f>
        <v>2.0000000000663931E-3</v>
      </c>
    </row>
    <row r="89" spans="1:12">
      <c r="A89">
        <v>88</v>
      </c>
      <c r="B89" t="s">
        <v>113</v>
      </c>
      <c r="C89" t="s">
        <v>10</v>
      </c>
      <c r="D89" t="s">
        <v>21</v>
      </c>
      <c r="E89">
        <v>7</v>
      </c>
      <c r="F89">
        <v>8.2100000000000009</v>
      </c>
      <c r="G89">
        <v>0</v>
      </c>
      <c r="H89">
        <v>57.47</v>
      </c>
      <c r="I89" t="s">
        <v>16</v>
      </c>
      <c r="J89" t="s">
        <v>45</v>
      </c>
      <c r="K89">
        <f>E89*F89*(1-G89)</f>
        <v>57.470000000000006</v>
      </c>
      <c r="L89">
        <f>H89-K89</f>
        <v>0</v>
      </c>
    </row>
    <row r="90" spans="1:12">
      <c r="A90">
        <v>89</v>
      </c>
      <c r="B90" t="s">
        <v>97</v>
      </c>
      <c r="C90" t="s">
        <v>8</v>
      </c>
      <c r="D90" t="s">
        <v>18</v>
      </c>
      <c r="E90">
        <v>2</v>
      </c>
      <c r="F90">
        <v>64.31</v>
      </c>
      <c r="G90">
        <v>0.05</v>
      </c>
      <c r="H90">
        <v>122.19</v>
      </c>
      <c r="I90" t="s">
        <v>15</v>
      </c>
      <c r="J90" t="s">
        <v>39</v>
      </c>
      <c r="K90">
        <f>E90*F90*(1-G90)</f>
        <v>122.18899999999999</v>
      </c>
      <c r="L90">
        <f>H90-K90</f>
        <v>1.0000000000047748E-3</v>
      </c>
    </row>
    <row r="91" spans="1:12">
      <c r="A91">
        <v>90</v>
      </c>
      <c r="B91" t="s">
        <v>92</v>
      </c>
      <c r="C91" t="s">
        <v>4</v>
      </c>
      <c r="D91" t="s">
        <v>19</v>
      </c>
      <c r="E91">
        <v>5</v>
      </c>
      <c r="F91">
        <v>865.76</v>
      </c>
      <c r="G91">
        <v>0.15</v>
      </c>
      <c r="H91">
        <v>3679.48</v>
      </c>
      <c r="I91" t="s">
        <v>15</v>
      </c>
      <c r="J91" t="s">
        <v>58</v>
      </c>
      <c r="K91">
        <f>E91*F91*(1-G91)</f>
        <v>3679.48</v>
      </c>
      <c r="L91">
        <f>H91-K91</f>
        <v>0</v>
      </c>
    </row>
    <row r="92" spans="1:12">
      <c r="A92">
        <v>91</v>
      </c>
      <c r="B92" t="s">
        <v>92</v>
      </c>
      <c r="C92" t="s">
        <v>6</v>
      </c>
      <c r="D92" t="s">
        <v>20</v>
      </c>
      <c r="E92">
        <v>6</v>
      </c>
      <c r="F92">
        <v>369.7</v>
      </c>
      <c r="G92">
        <v>0</v>
      </c>
      <c r="H92">
        <v>2218.1999999999998</v>
      </c>
      <c r="I92" t="s">
        <v>16</v>
      </c>
      <c r="J92" t="s">
        <v>58</v>
      </c>
      <c r="K92">
        <f>E92*F92*(1-G92)</f>
        <v>2218.1999999999998</v>
      </c>
      <c r="L92">
        <f>H92-K92</f>
        <v>0</v>
      </c>
    </row>
    <row r="93" spans="1:12">
      <c r="A93">
        <v>92</v>
      </c>
      <c r="B93" t="s">
        <v>52</v>
      </c>
      <c r="C93" t="s">
        <v>8</v>
      </c>
      <c r="D93" t="s">
        <v>18</v>
      </c>
      <c r="E93">
        <v>7</v>
      </c>
      <c r="F93">
        <v>63.3</v>
      </c>
      <c r="G93">
        <v>0.1</v>
      </c>
      <c r="H93">
        <v>398.79</v>
      </c>
      <c r="I93" t="s">
        <v>16</v>
      </c>
      <c r="J93" t="s">
        <v>39</v>
      </c>
      <c r="K93">
        <f>E93*F93*(1-G93)</f>
        <v>398.78999999999996</v>
      </c>
      <c r="L93">
        <f>H93-K93</f>
        <v>0</v>
      </c>
    </row>
    <row r="94" spans="1:12">
      <c r="A94">
        <v>93</v>
      </c>
      <c r="B94" t="s">
        <v>62</v>
      </c>
      <c r="C94" t="s">
        <v>5</v>
      </c>
      <c r="D94" t="s">
        <v>20</v>
      </c>
      <c r="E94">
        <v>6</v>
      </c>
      <c r="F94">
        <v>293.33999999999997</v>
      </c>
      <c r="G94">
        <v>0.05</v>
      </c>
      <c r="H94">
        <v>1672.04</v>
      </c>
      <c r="I94" t="s">
        <v>16</v>
      </c>
      <c r="J94" t="s">
        <v>48</v>
      </c>
      <c r="K94">
        <f>E94*F94*(1-G94)</f>
        <v>1672.0379999999998</v>
      </c>
      <c r="L94">
        <f>H94-K94</f>
        <v>2.00000000018008E-3</v>
      </c>
    </row>
    <row r="95" spans="1:12">
      <c r="A95">
        <v>94</v>
      </c>
      <c r="B95" t="s">
        <v>88</v>
      </c>
      <c r="C95" t="s">
        <v>6</v>
      </c>
      <c r="D95" t="s">
        <v>20</v>
      </c>
      <c r="E95">
        <v>1</v>
      </c>
      <c r="F95">
        <v>350.93</v>
      </c>
      <c r="G95">
        <v>0</v>
      </c>
      <c r="H95">
        <v>350.93</v>
      </c>
      <c r="I95" t="s">
        <v>13</v>
      </c>
      <c r="J95" t="s">
        <v>39</v>
      </c>
      <c r="K95">
        <f>E95*F95*(1-G95)</f>
        <v>350.93</v>
      </c>
      <c r="L95">
        <f>H95-K95</f>
        <v>0</v>
      </c>
    </row>
    <row r="96" spans="1:12">
      <c r="A96">
        <v>95</v>
      </c>
      <c r="B96" t="s">
        <v>106</v>
      </c>
      <c r="C96" t="s">
        <v>8</v>
      </c>
      <c r="D96" t="s">
        <v>18</v>
      </c>
      <c r="E96">
        <v>4</v>
      </c>
      <c r="F96">
        <v>66.98</v>
      </c>
      <c r="G96">
        <v>0.1</v>
      </c>
      <c r="H96">
        <v>241.13</v>
      </c>
      <c r="I96" t="s">
        <v>15</v>
      </c>
      <c r="J96" t="s">
        <v>45</v>
      </c>
      <c r="K96">
        <f>E96*F96*(1-G96)</f>
        <v>241.12800000000001</v>
      </c>
      <c r="L96">
        <f>H96-K96</f>
        <v>1.999999999981128E-3</v>
      </c>
    </row>
    <row r="97" spans="1:12">
      <c r="A97">
        <v>96</v>
      </c>
      <c r="B97" t="s">
        <v>114</v>
      </c>
      <c r="C97" t="s">
        <v>6</v>
      </c>
      <c r="D97" t="s">
        <v>20</v>
      </c>
      <c r="E97">
        <v>4</v>
      </c>
      <c r="F97">
        <v>344.65</v>
      </c>
      <c r="G97">
        <v>0</v>
      </c>
      <c r="H97">
        <v>1378.6</v>
      </c>
      <c r="I97" t="s">
        <v>16</v>
      </c>
      <c r="J97" t="s">
        <v>48</v>
      </c>
      <c r="K97">
        <f>E97*F97*(1-G97)</f>
        <v>1378.6</v>
      </c>
      <c r="L97">
        <f>H97-K97</f>
        <v>0</v>
      </c>
    </row>
    <row r="98" spans="1:12">
      <c r="A98">
        <v>97</v>
      </c>
      <c r="B98" t="s">
        <v>79</v>
      </c>
      <c r="C98" t="s">
        <v>8</v>
      </c>
      <c r="D98" t="s">
        <v>18</v>
      </c>
      <c r="E98">
        <v>6</v>
      </c>
      <c r="F98">
        <v>64.23</v>
      </c>
      <c r="G98">
        <v>0.15</v>
      </c>
      <c r="H98">
        <v>327.57</v>
      </c>
      <c r="I98" t="s">
        <v>16</v>
      </c>
      <c r="J98" t="s">
        <v>43</v>
      </c>
      <c r="K98">
        <f>E98*F98*(1-G98)</f>
        <v>327.57299999999998</v>
      </c>
      <c r="L98">
        <f>H98-K98</f>
        <v>-2.9999999999859028E-3</v>
      </c>
    </row>
    <row r="99" spans="1:12">
      <c r="A99">
        <v>98</v>
      </c>
      <c r="B99" t="s">
        <v>88</v>
      </c>
      <c r="C99" t="s">
        <v>8</v>
      </c>
      <c r="D99" t="s">
        <v>18</v>
      </c>
      <c r="E99">
        <v>5</v>
      </c>
      <c r="F99">
        <v>62.99</v>
      </c>
      <c r="G99">
        <v>0</v>
      </c>
      <c r="H99">
        <v>314.95</v>
      </c>
      <c r="I99" t="s">
        <v>13</v>
      </c>
      <c r="J99" t="s">
        <v>39</v>
      </c>
      <c r="K99">
        <f>E99*F99*(1-G99)</f>
        <v>314.95</v>
      </c>
      <c r="L99">
        <f>H99-K99</f>
        <v>0</v>
      </c>
    </row>
    <row r="100" spans="1:12">
      <c r="A100">
        <v>99</v>
      </c>
      <c r="B100" t="s">
        <v>77</v>
      </c>
      <c r="C100" t="s">
        <v>7</v>
      </c>
      <c r="D100" t="s">
        <v>19</v>
      </c>
      <c r="E100">
        <v>3</v>
      </c>
      <c r="F100">
        <v>114.08</v>
      </c>
      <c r="G100">
        <v>0.1</v>
      </c>
      <c r="H100">
        <v>308.02</v>
      </c>
      <c r="I100" t="s">
        <v>16</v>
      </c>
      <c r="J100" t="s">
        <v>48</v>
      </c>
      <c r="K100">
        <f>E100*F100*(1-G100)</f>
        <v>308.01600000000002</v>
      </c>
      <c r="L100">
        <f>H100-K100</f>
        <v>3.999999999962256E-3</v>
      </c>
    </row>
    <row r="101" spans="1:12">
      <c r="A101">
        <v>100</v>
      </c>
      <c r="B101" t="s">
        <v>115</v>
      </c>
      <c r="C101" t="s">
        <v>6</v>
      </c>
      <c r="D101" t="s">
        <v>20</v>
      </c>
      <c r="E101">
        <v>2</v>
      </c>
      <c r="F101">
        <v>368.63</v>
      </c>
      <c r="G101">
        <v>0.05</v>
      </c>
      <c r="H101">
        <v>700.4</v>
      </c>
      <c r="I101" t="s">
        <v>14</v>
      </c>
      <c r="J101" t="s">
        <v>43</v>
      </c>
      <c r="K101">
        <f>E101*F101*(1-G101)</f>
        <v>700.39699999999993</v>
      </c>
      <c r="L101">
        <f>H101-K101</f>
        <v>3.0000000000427463E-3</v>
      </c>
    </row>
  </sheetData>
  <sortState xmlns:xlrd2="http://schemas.microsoft.com/office/spreadsheetml/2017/richdata2" ref="L2:L101">
    <sortCondition descending="1" ref="L2:L10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2026-09-06T13:07:41Z</dcterms:created>
  <dcterms:modified xsi:type="dcterms:W3CDTF">2026-09-06T15:05:24Z</dcterms:modified>
  <cp:category/>
  <cp:contentStatus/>
</cp:coreProperties>
</file>